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x/Documents/"/>
    </mc:Choice>
  </mc:AlternateContent>
  <xr:revisionPtr revIDLastSave="0" documentId="8_{134F0A5E-DDB3-7343-869B-D64FFDFBC6E9}" xr6:coauthVersionLast="47" xr6:coauthVersionMax="47" xr10:uidLastSave="{00000000-0000-0000-0000-000000000000}"/>
  <bookViews>
    <workbookView xWindow="0" yWindow="500" windowWidth="33600" windowHeight="18840" firstSheet="150" activeTab="163" xr2:uid="{DC579BD6-7C73-7A4B-8E4A-77644D90653D}"/>
  </bookViews>
  <sheets>
    <sheet name="MOS Excel 365 練習問題" sheetId="1" r:id="rId1"/>
    <sheet name="回答一覧" sheetId="62" r:id="rId2"/>
    <sheet name="Q01" sheetId="2" r:id="rId3"/>
    <sheet name="A01" sheetId="63" r:id="rId4"/>
    <sheet name="Q02" sheetId="3" r:id="rId5"/>
    <sheet name="A02" sheetId="64" r:id="rId6"/>
    <sheet name="Q03" sheetId="4" r:id="rId7"/>
    <sheet name="A03" sheetId="65" r:id="rId8"/>
    <sheet name="Q04" sheetId="5" r:id="rId9"/>
    <sheet name="A04" sheetId="66" r:id="rId10"/>
    <sheet name="Q05" sheetId="6" r:id="rId11"/>
    <sheet name="A05" sheetId="67" r:id="rId12"/>
    <sheet name="Q06" sheetId="7" r:id="rId13"/>
    <sheet name="A06" sheetId="68" r:id="rId14"/>
    <sheet name="Q07" sheetId="8" r:id="rId15"/>
    <sheet name="A07" sheetId="69" r:id="rId16"/>
    <sheet name="Q08" sheetId="9" r:id="rId17"/>
    <sheet name="A08" sheetId="70" r:id="rId18"/>
    <sheet name="Q09" sheetId="10" r:id="rId19"/>
    <sheet name="A09" sheetId="71" r:id="rId20"/>
    <sheet name="Q10" sheetId="11" r:id="rId21"/>
    <sheet name="A10" sheetId="72" r:id="rId22"/>
    <sheet name="Q11" sheetId="12" r:id="rId23"/>
    <sheet name="A11" sheetId="73" r:id="rId24"/>
    <sheet name="Q12" sheetId="13" r:id="rId25"/>
    <sheet name="A12" sheetId="74" r:id="rId26"/>
    <sheet name="Q13" sheetId="14" r:id="rId27"/>
    <sheet name="A13" sheetId="75" r:id="rId28"/>
    <sheet name="Q14" sheetId="15" r:id="rId29"/>
    <sheet name="A14" sheetId="76" r:id="rId30"/>
    <sheet name="Q15" sheetId="16" r:id="rId31"/>
    <sheet name="A15" sheetId="77" r:id="rId32"/>
    <sheet name="Q16" sheetId="17" r:id="rId33"/>
    <sheet name="A16" sheetId="78" r:id="rId34"/>
    <sheet name="Q17" sheetId="18" r:id="rId35"/>
    <sheet name="A17" sheetId="79" r:id="rId36"/>
    <sheet name="Q18" sheetId="19" r:id="rId37"/>
    <sheet name="A18" sheetId="80" r:id="rId38"/>
    <sheet name="Q19" sheetId="20" r:id="rId39"/>
    <sheet name="A19" sheetId="81" r:id="rId40"/>
    <sheet name="Q20" sheetId="21" r:id="rId41"/>
    <sheet name="A20" sheetId="82" r:id="rId42"/>
    <sheet name="Q21" sheetId="22" r:id="rId43"/>
    <sheet name="A21" sheetId="83" r:id="rId44"/>
    <sheet name="Q22" sheetId="23" r:id="rId45"/>
    <sheet name="A22" sheetId="84" r:id="rId46"/>
    <sheet name="Q23" sheetId="24" r:id="rId47"/>
    <sheet name="A23" sheetId="85" r:id="rId48"/>
    <sheet name="Q24" sheetId="25" r:id="rId49"/>
    <sheet name="A24" sheetId="86" r:id="rId50"/>
    <sheet name="Q25" sheetId="26" r:id="rId51"/>
    <sheet name="A25" sheetId="87" r:id="rId52"/>
    <sheet name="Q26" sheetId="27" r:id="rId53"/>
    <sheet name="A26" sheetId="88" r:id="rId54"/>
    <sheet name="Q27" sheetId="28" r:id="rId55"/>
    <sheet name="A27" sheetId="89" r:id="rId56"/>
    <sheet name="Q28" sheetId="29" r:id="rId57"/>
    <sheet name="A28" sheetId="90" r:id="rId58"/>
    <sheet name="Q29" sheetId="30" r:id="rId59"/>
    <sheet name="A29" sheetId="91" r:id="rId60"/>
    <sheet name="Q30" sheetId="31" r:id="rId61"/>
    <sheet name="A30" sheetId="92" r:id="rId62"/>
    <sheet name="Q31" sheetId="32" r:id="rId63"/>
    <sheet name="A31" sheetId="93" r:id="rId64"/>
    <sheet name="Q32" sheetId="33" r:id="rId65"/>
    <sheet name="A32" sheetId="94" r:id="rId66"/>
    <sheet name="Q33" sheetId="34" r:id="rId67"/>
    <sheet name="A33" sheetId="95" r:id="rId68"/>
    <sheet name="Q34" sheetId="35" r:id="rId69"/>
    <sheet name="A34" sheetId="96" r:id="rId70"/>
    <sheet name="Q35" sheetId="36" r:id="rId71"/>
    <sheet name="A35" sheetId="97" r:id="rId72"/>
    <sheet name="Q36" sheetId="37" r:id="rId73"/>
    <sheet name="A36" sheetId="98" r:id="rId74"/>
    <sheet name="Q37" sheetId="38" r:id="rId75"/>
    <sheet name="A37" sheetId="99" r:id="rId76"/>
    <sheet name="Q38" sheetId="39" r:id="rId77"/>
    <sheet name="A38" sheetId="100" r:id="rId78"/>
    <sheet name="Q39" sheetId="40" r:id="rId79"/>
    <sheet name="A39" sheetId="101" r:id="rId80"/>
    <sheet name="Q40" sheetId="41" r:id="rId81"/>
    <sheet name="A40" sheetId="102" r:id="rId82"/>
    <sheet name="Q41" sheetId="42" r:id="rId83"/>
    <sheet name="A41" sheetId="103" r:id="rId84"/>
    <sheet name="Q42" sheetId="43" r:id="rId85"/>
    <sheet name="A42" sheetId="104" r:id="rId86"/>
    <sheet name="Q43" sheetId="44" r:id="rId87"/>
    <sheet name="A43" sheetId="105" r:id="rId88"/>
    <sheet name="Q44" sheetId="45" r:id="rId89"/>
    <sheet name="A44" sheetId="106" r:id="rId90"/>
    <sheet name="Q45" sheetId="46" r:id="rId91"/>
    <sheet name="A45" sheetId="107" r:id="rId92"/>
    <sheet name="Q46" sheetId="47" r:id="rId93"/>
    <sheet name="A46" sheetId="108" r:id="rId94"/>
    <sheet name="Q47" sheetId="48" r:id="rId95"/>
    <sheet name="A47" sheetId="109" r:id="rId96"/>
    <sheet name="Q48" sheetId="49" r:id="rId97"/>
    <sheet name="A48" sheetId="110" r:id="rId98"/>
    <sheet name="Q49" sheetId="50" r:id="rId99"/>
    <sheet name="A49" sheetId="111" r:id="rId100"/>
    <sheet name="Q50" sheetId="51" r:id="rId101"/>
    <sheet name="A50" sheetId="112" r:id="rId102"/>
    <sheet name="Q51" sheetId="52" r:id="rId103"/>
    <sheet name="A51" sheetId="113" r:id="rId104"/>
    <sheet name="Q52" sheetId="53" r:id="rId105"/>
    <sheet name="A52" sheetId="114" r:id="rId106"/>
    <sheet name="Q53" sheetId="54" r:id="rId107"/>
    <sheet name="A53" sheetId="115" r:id="rId108"/>
    <sheet name="Q54" sheetId="55" r:id="rId109"/>
    <sheet name="A54" sheetId="116" r:id="rId110"/>
    <sheet name="Q55" sheetId="56" r:id="rId111"/>
    <sheet name="A55" sheetId="117" r:id="rId112"/>
    <sheet name="Q56" sheetId="57" r:id="rId113"/>
    <sheet name="A56" sheetId="118" r:id="rId114"/>
    <sheet name="Q57" sheetId="58" r:id="rId115"/>
    <sheet name="A57" sheetId="119" r:id="rId116"/>
    <sheet name="Q58" sheetId="59" r:id="rId117"/>
    <sheet name="A58" sheetId="120" r:id="rId118"/>
    <sheet name="Q59" sheetId="60" r:id="rId119"/>
    <sheet name="A59" sheetId="121" r:id="rId120"/>
    <sheet name="Q60" sheetId="61" r:id="rId121"/>
    <sheet name="A60" sheetId="122" r:id="rId122"/>
    <sheet name="実技問題一覧" sheetId="123" r:id="rId123"/>
    <sheet name="P01" sheetId="124" r:id="rId124"/>
    <sheet name="PA01" sheetId="125" r:id="rId125"/>
    <sheet name="P02" sheetId="126" r:id="rId126"/>
    <sheet name="PA02" sheetId="127" r:id="rId127"/>
    <sheet name="P03" sheetId="128" r:id="rId128"/>
    <sheet name="PA03" sheetId="129" r:id="rId129"/>
    <sheet name="P04" sheetId="130" r:id="rId130"/>
    <sheet name="PA04" sheetId="131" r:id="rId131"/>
    <sheet name="P05" sheetId="132" r:id="rId132"/>
    <sheet name="PA05" sheetId="133" r:id="rId133"/>
    <sheet name="P06" sheetId="134" r:id="rId134"/>
    <sheet name="PA06" sheetId="135" r:id="rId135"/>
    <sheet name="P07" sheetId="136" r:id="rId136"/>
    <sheet name="PA07" sheetId="137" r:id="rId137"/>
    <sheet name="P08" sheetId="138" r:id="rId138"/>
    <sheet name="PA08" sheetId="139" r:id="rId139"/>
    <sheet name="P09" sheetId="140" r:id="rId140"/>
    <sheet name="PA09" sheetId="141" r:id="rId141"/>
    <sheet name="P10" sheetId="142" r:id="rId142"/>
    <sheet name="PA10" sheetId="143" r:id="rId143"/>
    <sheet name="P11" sheetId="144" r:id="rId144"/>
    <sheet name="PA11" sheetId="145" r:id="rId145"/>
    <sheet name="P12" sheetId="146" r:id="rId146"/>
    <sheet name="PA12" sheetId="147" r:id="rId147"/>
    <sheet name="P13" sheetId="148" r:id="rId148"/>
    <sheet name="PA13" sheetId="149" r:id="rId149"/>
    <sheet name="P14" sheetId="150" r:id="rId150"/>
    <sheet name="PA14" sheetId="151" r:id="rId151"/>
    <sheet name="P15" sheetId="152" r:id="rId152"/>
    <sheet name="PA15" sheetId="153" r:id="rId153"/>
    <sheet name="P16" sheetId="154" r:id="rId154"/>
    <sheet name="PA16" sheetId="155" r:id="rId155"/>
    <sheet name="P17" sheetId="156" r:id="rId156"/>
    <sheet name="PA17" sheetId="157" r:id="rId157"/>
    <sheet name="P18" sheetId="158" r:id="rId158"/>
    <sheet name="PA18" sheetId="159" r:id="rId159"/>
    <sheet name="P19" sheetId="160" r:id="rId160"/>
    <sheet name="PA19" sheetId="161" r:id="rId161"/>
    <sheet name="P20" sheetId="162" r:id="rId162"/>
    <sheet name="PA20" sheetId="163" r:id="rId163"/>
    <sheet name="P21" sheetId="164" r:id="rId164"/>
    <sheet name="PA21" sheetId="165" r:id="rId165"/>
    <sheet name="P22" sheetId="166" r:id="rId166"/>
    <sheet name="PA22" sheetId="167" r:id="rId167"/>
    <sheet name="P23" sheetId="168" r:id="rId168"/>
    <sheet name="PA23" sheetId="169" r:id="rId169"/>
    <sheet name="P24" sheetId="170" r:id="rId170"/>
    <sheet name="PA24" sheetId="171" r:id="rId171"/>
    <sheet name="P25" sheetId="172" r:id="rId172"/>
    <sheet name="PA25" sheetId="173" r:id="rId173"/>
    <sheet name="P26" sheetId="174" r:id="rId174"/>
    <sheet name="PA26" sheetId="175" r:id="rId17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8" i="136" l="1"/>
  <c r="D7" i="136"/>
  <c r="D6" i="136"/>
  <c r="D5" i="136"/>
  <c r="G14" i="132"/>
  <c r="G13" i="132"/>
  <c r="G12" i="132"/>
  <c r="G11" i="132"/>
  <c r="G10" i="132"/>
  <c r="G9" i="132"/>
  <c r="G8" i="132"/>
  <c r="G7" i="132"/>
  <c r="G6" i="132"/>
  <c r="G5" i="132"/>
  <c r="F24" i="126"/>
  <c r="F23" i="126"/>
  <c r="F22" i="126"/>
  <c r="F21" i="126"/>
  <c r="F20" i="126"/>
  <c r="F19" i="126"/>
  <c r="F18" i="126"/>
  <c r="F17" i="126"/>
  <c r="F16" i="126"/>
  <c r="F15" i="126"/>
  <c r="F14" i="126"/>
  <c r="F13" i="126"/>
  <c r="F12" i="126"/>
  <c r="F11" i="126"/>
  <c r="F10" i="126"/>
  <c r="F9" i="126"/>
  <c r="F8" i="126"/>
  <c r="F7" i="126"/>
  <c r="F6" i="126"/>
  <c r="F5" i="126"/>
  <c r="H19" i="124"/>
  <c r="H18" i="124"/>
  <c r="H17" i="124"/>
  <c r="H16" i="124"/>
  <c r="H15" i="124"/>
  <c r="H14" i="124"/>
  <c r="H13" i="124"/>
  <c r="H12" i="124"/>
  <c r="H11" i="124"/>
  <c r="H10" i="124"/>
  <c r="H9" i="124"/>
  <c r="H8" i="124"/>
  <c r="H7" i="124"/>
  <c r="H6" i="124"/>
  <c r="H5" i="124"/>
  <c r="E28" i="1" a="1"/>
  <c r="E2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<sst xmlns="http://schemas.openxmlformats.org/spreadsheetml/2006/main" count="3664" uniqueCount="1056">
  <si>
    <t>No.</t>
  </si>
  <si>
    <t>出題範囲</t>
  </si>
  <si>
    <t>小分類</t>
  </si>
  <si>
    <t>練習問題</t>
  </si>
  <si>
    <t>ポイント・解説</t>
  </si>
  <si>
    <t>1. ワークシートやブックの管理</t>
  </si>
  <si>
    <t>デスクトップ上のタブ区切りテキストファイル「売上データ.txt」を、新しいワークシートにインポートしてください。</t>
  </si>
  <si>
    <t>CSVファイル「顧客リスト.csv」からデータをインポートし、シート「顧客」に配置してください。</t>
  </si>
  <si>
    <t>【データ】タブ→【テキストまたはCSVから】でファイルを選択し、区切り記号（コンマ）を確認後、読み込む。</t>
  </si>
  <si>
    <t>「検索と置換」機能を使って、ブック内の「東京」という文字列をすべて検索し、該当セルに移動してください。</t>
  </si>
  <si>
    <t>Ctrl+Fで【検索と置換】を開き、「東京」を入力して【すべて検索】。結果一覧からクリックで該当セルへ移動。</t>
  </si>
  <si>
    <t>名前付き範囲へ移動する</t>
  </si>
  <si>
    <t>名前ボックスに「売上合計」と入力して、名前付き範囲「売上合計」のセルに移動してください。</t>
  </si>
  <si>
    <t>数式バー左の【名前ボックス】に定義済みの名前を入力してEnter、またはCtrl+Gで移動ダイアログを使う。</t>
  </si>
  <si>
    <t>セルA10に、シート「詳細データ」のセルA1へのハイパーリンクを挿入してください。表示文字列は「詳細はこちら」とします。</t>
  </si>
  <si>
    <t>セルA10を選択→【挿入】タブ→【リンク】→【このドキュメント内】でシートとセルを指定し、表示文字列を設定。</t>
  </si>
  <si>
    <t>ハイパーリンクの削除</t>
  </si>
  <si>
    <t>セルB5に設定されているハイパーリンクを削除してください。（セルの値はそのまま残す）</t>
  </si>
  <si>
    <t>セルB5を右クリック→【ハイパーリンクの削除】を選択。値や書式は保持される。</t>
  </si>
  <si>
    <t>ページ設定を変更する</t>
  </si>
  <si>
    <t>シート「月次報告」の印刷の向きを横向きに変更し、用紙サイズをA4に設定してください。</t>
  </si>
  <si>
    <t>【ページレイアウト】タブ→【印刷の向き】→【横】を選択。【サイズ】→【A4】を選択。</t>
  </si>
  <si>
    <t>行の高さ・列の幅を調整する</t>
  </si>
  <si>
    <t>A列の列幅を「20」に、1行目の行の高さを「30」に設定してください。</t>
  </si>
  <si>
    <t>A列を選択→右クリック→【列の幅】→20を入力。1行目を選択→右クリック→【行の高さ】→30を入力。</t>
  </si>
  <si>
    <t>ヘッダー・フッターのカスタマイズ</t>
  </si>
  <si>
    <t>ヘッダーの中央部にシート名、フッターの右側にページ番号を挿入してください。</t>
  </si>
  <si>
    <t>【挿入】タブ→【ヘッダーとフッター】。中央のヘッダーに【シート名】、右のフッターに【ページ番号】を挿入。</t>
  </si>
  <si>
    <t>クイックアクセスツールバーの管理</t>
  </si>
  <si>
    <t>クイックアクセスツールバーに「クイック印刷」コマンドを追加してください。</t>
  </si>
  <si>
    <t>【クイックアクセスツールバーのユーザー設定】▼→【その他のコマンド】→「クイック印刷」を追加。</t>
  </si>
  <si>
    <t>シートのビュー表示・変更</t>
  </si>
  <si>
    <t>現在のシートの表示を「改ページプレビュー」に切り替えてください。</t>
  </si>
  <si>
    <t>行や列を固定する</t>
  </si>
  <si>
    <t>数式を表示する</t>
  </si>
  <si>
    <t>ワークシート上のすべてのセルに入力されている数式を表示してください。</t>
  </si>
  <si>
    <t>【数式】タブ→【数式の表示】をクリック。またはCtrl+`（バッククォート）でトグル切り替え。</t>
  </si>
  <si>
    <t>印刷範囲を設定する</t>
  </si>
  <si>
    <t>セル範囲A1:F20を印刷範囲として設定してください。</t>
  </si>
  <si>
    <t>別形式で保存・エクスポート</t>
  </si>
  <si>
    <t>現在のブックをPDF形式で「月次レポート」という名前でデスクトップに保存してください。</t>
  </si>
  <si>
    <t>印刷設定を行う</t>
  </si>
  <si>
    <t>【ページレイアウト】タブ→【印刷タイトル】→「タイトル行」に$1:$1を設定する。</t>
  </si>
  <si>
    <t>互換性チェック</t>
  </si>
  <si>
    <t>ブックの互換性チェックを実行し、結果を確認してください。</t>
  </si>
  <si>
    <t>2. セルやセル範囲のデータの管理</t>
  </si>
  <si>
    <t>形式を選択して貼り付け</t>
  </si>
  <si>
    <t>セル範囲A1:D5をコピーし、セルF1に「値のみ」で貼り付けてください。</t>
  </si>
  <si>
    <t>コピーした表を「行列を入れ替えて」貼り付けてください。</t>
  </si>
  <si>
    <t>コピー後→貼り付け先を選択→【形式を選択して貼り付け】→【行列を入れ替える】にチェック→OK。</t>
  </si>
  <si>
    <t>オートフィル機能</t>
  </si>
  <si>
    <t>行・列の挿入・削除</t>
  </si>
  <si>
    <t>3行目と4行目の間に2行挿入してください。</t>
  </si>
  <si>
    <t>4行目と5行目を選択→右クリック→【挿入】。選択した行数分の空白行が上に挿入される。</t>
  </si>
  <si>
    <t>セルの挿入・削除</t>
  </si>
  <si>
    <t>セルB3を削除し、下のセルを上に移動させてください。</t>
  </si>
  <si>
    <t>セルB3を選択→右クリック→【削除】→【上方向にシフト】を選択→OK。</t>
  </si>
  <si>
    <t>RANDBETWEEN関数</t>
  </si>
  <si>
    <t>テキストファイルからインポート</t>
  </si>
  <si>
    <t>【データ】タブ→【テキストまたはCSVから】を使用。区切り記号（タブ）を確認してインポートする。</t>
  </si>
  <si>
    <t>CSVファイルからインポート</t>
  </si>
  <si>
    <t>ブック内のデータを検索する</t>
  </si>
  <si>
    <t>ハイパーリンクの挿入</t>
  </si>
  <si>
    <t>【表示】タブ→【改ページプレビュー】。ステータスバーのアイコンからも切り替え可能。</t>
  </si>
  <si>
    <t>1行目とA列が常に表示されるように、ウィンドウ枠を固定してください。</t>
  </si>
  <si>
    <t>セルB2を選択→【表示】タブ→【ウィンドウ枠の固定】。選択セルの上と左が固定される。</t>
  </si>
  <si>
    <t>A1:F20を選択→【ページレイアウト】タブ→【印刷範囲】→【印刷範囲の設定】。</t>
  </si>
  <si>
    <t>【ファイル】→【名前を付けて保存】→ファイルの種類を「PDF」に変更→名前を入力して保存。</t>
  </si>
  <si>
    <t>2ページ目以降にも1行目の見出しが印刷されるように印刷タイトルを設定してください。</t>
  </si>
  <si>
    <t>ドキュメント検査</t>
  </si>
  <si>
    <t>ドキュメント検査を実行し、プロパティと個人情報を削除してください。</t>
  </si>
  <si>
    <t>【ファイル】→【情報】→【問題のチェック】→【ドキュメント検査】→検査後、該当項目の【すべて削除】。</t>
  </si>
  <si>
    <t>アクセシビリティチェック</t>
  </si>
  <si>
    <t>アクセシビリティをチェックし、グラフに代替テキスト「売上推移グラフ」を設定してください。</t>
  </si>
  <si>
    <t>【ファイル】→【情報】→【問題のチェック】→【アクセシビリティチェック】→グラフを右クリック→代替テキスト入力。</t>
  </si>
  <si>
    <t>【ファイル】→【情報】→【問題のチェック】→【互換性チェック】で結果を確認。</t>
  </si>
  <si>
    <t>コメントとメモの管理</t>
  </si>
  <si>
    <t>セルC5にコメント（スレッド形式）で「確認してください」と入力し、セルD3にモで「前年比120%」と記入してください。</t>
  </si>
  <si>
    <t>コメント：右クリック→【新しいコメント】。メモ：右クリック→【メモの挿入】。365ではコメントはスレッド形式、モは付箋型。</t>
  </si>
  <si>
    <t>コピー後→F1を選択→【ホーム】タブ→【貼り付け】▼→【値の貼り付け】。書式や数式は貼り付けられない。</t>
  </si>
  <si>
    <t>行列を入れ替えて貼り付け</t>
  </si>
  <si>
    <t>セルA1に「月曜日」と入力し、オートフィルを使ってA2:A7に火曜日～日曜日まで自動入力してください。</t>
  </si>
  <si>
    <t>A1に「月曜日」を入力→右下のフィルハンドルをA7までドラッグ。曜日の連続データを自動認識。</t>
  </si>
  <si>
    <t>セルA1に1から100の間のランダムな整数を生成する数式を入力してください。</t>
  </si>
  <si>
    <t>SEQUENCE関数</t>
  </si>
  <si>
    <t>セルA1を起点に、1から始まる5行3列の連番データをSEQUENCE関数で生成してください。</t>
  </si>
  <si>
    <t>セルの結合・結合解除</t>
  </si>
  <si>
    <t>セル範囲A1:D1を結合して中央揃えにし、「年間売上報告書」と入力してください。</t>
  </si>
  <si>
    <t>A1:D1を選択→【ホーム】タブ→【セルを結合して中央揃え】。解除は同ボタンの▼から。</t>
  </si>
  <si>
    <t>セルの書式設定（数値）</t>
  </si>
  <si>
    <t>セル範囲C2:C20の数値に桁区切りスタイルを適用し小数点以下0桁にしてください。</t>
  </si>
  <si>
    <t>範囲選択→【ホーム】タブ→【桁区切りスタイル】を適用。小数点は【小数点以下の桁数を減らす】で0に。</t>
  </si>
  <si>
    <t>セルの書式設定（日付）</t>
  </si>
  <si>
    <t>セル範囲D2:D10にyyyy/mm/dd形式の日付書式を適用してください。</t>
  </si>
  <si>
    <t>範囲選択→Ctrl+1→【表示形式】タブ→【ユーザー定義】→yyyy/mm/ddと入力→OK。</t>
  </si>
  <si>
    <t>セルスタイルと折り返し</t>
  </si>
  <si>
    <t>セルA1:F1に「見出し1」のセルスタイルを適用し、セルA3のテキストを折り返して表示してください。</t>
  </si>
  <si>
    <t>スタイル：【ホーム】→【セルのスタイル】→「見出し1」。折り返し：【ホーム】→【折り返して全体を表示する】。</t>
  </si>
  <si>
    <t>名前付き範囲を定義・参照</t>
  </si>
  <si>
    <t>セル範囲B2:B20に「月間売上」という名前を定義し、セルE1に =SUM(月間売上) と入力してください。</t>
  </si>
  <si>
    <t>名前ボックスに名前を入力してEnterで定義。数式内で名前付き範囲を直接使用できる。</t>
  </si>
  <si>
    <t>条件付き書式を適用する</t>
  </si>
  <si>
    <t>セル範囲C2:C15で値が80以上のセルに「濃い緑の文字、緑の背景」の条件付き書式を設定してください。</t>
  </si>
  <si>
    <t>【ホーム】→【条件付き書式】→【セルの強調表示ルール】→【指定の値より大きい】→79を入力し書式を選択。</t>
  </si>
  <si>
    <t>条件付き書式（データバー）</t>
  </si>
  <si>
    <t>セル範囲D2:D10にデータバー（青のグラデーション）を表示してください。</t>
  </si>
  <si>
    <t>範囲選択→【ホーム】→【条件付き書式】→【データバー】→青のグラデーションを選択。</t>
  </si>
  <si>
    <t>スパークラインを挿入する</t>
  </si>
  <si>
    <t>セル範囲B2:G2のデータを基に、H2に折れ線スパークラインを挿入してください。</t>
  </si>
  <si>
    <t>H2を選択→【挿入】タブ→【スパークライン】→【折れ線】→データ範囲にB2:G2を指定→OK。</t>
  </si>
  <si>
    <t>3. テーブルとテーブルのデータの管理</t>
  </si>
  <si>
    <t>テーブルを作成する</t>
  </si>
  <si>
    <t>セル範囲A1:E20をテーブルに変換してください。先頭行をタイトル行として使用します。</t>
  </si>
  <si>
    <t>A1:E20を選択→【挿入】タブ→【テーブル】→「先頭行をテーブルの見出しとして使用」にチェック→OK。Ctrl+Tも可。</t>
  </si>
  <si>
    <t>テーブルにスタイルを適用</t>
  </si>
  <si>
    <t>テーブルにスタイル「青、テーブルスタイル（中間）2」を適用してください。</t>
  </si>
  <si>
    <t>テーブル内をクリック→【テーブルデザイン】タブ→【テーブルスタイル】から該当のスタイルを選択。</t>
  </si>
  <si>
    <t>テーブルをセル範囲に変換</t>
  </si>
  <si>
    <t>テーブルを通常のセル範囲に変換してください。書式はそのまま残します。</t>
  </si>
  <si>
    <t>テーブル内をクリック→【テーブルデザイン】タブ→【範囲に変換】→確認メッセージで「はい」。</t>
  </si>
  <si>
    <t>テーブルに行・列を追加</t>
  </si>
  <si>
    <t>テーブルの最終行の下に新しい行を追加し、右端に「備考」列を追加してください。</t>
  </si>
  <si>
    <t>最終行の次のセルにデータ入力で行追加。最終列の隣のヘッダーセルに「備考」と入力で列追加。</t>
  </si>
  <si>
    <t>テーブルスタイルのオプション</t>
  </si>
  <si>
    <t>テーブルの「縞模様（行）」をオフにし、「最初の列」を強調表示する設定にしてください。</t>
  </si>
  <si>
    <t>【テーブルデザイン】タブ→「縞模様（行）」のチェックを外す→「最初の列」にチェックを入れる。</t>
  </si>
  <si>
    <t>集計行を挿入・設定する</t>
  </si>
  <si>
    <t>テーブルに集計行を表示し、「売上金額」列の合計を表示してください。</t>
  </si>
  <si>
    <t>【テーブルデザイン】タブ→【集計行】にチェック→集計行の売上金額列で▼→【合計】を選択。</t>
  </si>
  <si>
    <t>レコードをフィルターする</t>
  </si>
  <si>
    <t>テーブルのフィルターで「地域」列が「関東」のレコードだけを表示してください。</t>
  </si>
  <si>
    <t>「地域」列のフィルターボタン▼→すべてのチェックを外す→「関東」のみチェック→OK。</t>
  </si>
  <si>
    <t>複数列でデータを並べ替え</t>
  </si>
  <si>
    <t>テーブルを「地域」の昇順、同じ地域内では「売上金額」の降順で並べ替えてください。</t>
  </si>
  <si>
    <t>【データ】タブ→【並べ替え】→「地域」昇順を追加→【レベルの追加】→「売上金額」降順を設定→OK。</t>
  </si>
  <si>
    <t>4. 数式や関数を使用した演算の実行</t>
  </si>
  <si>
    <t>構造化参照</t>
  </si>
  <si>
    <t>テーブル「商品表」の「単価」列と「数量」列の掛け算を構造化参照で「金額」列に入力してください。</t>
  </si>
  <si>
    <t>セルC2に =B2*$E$1 を入力しC3:C10にコピー。E1が絶対参照で固定されることを確認。</t>
  </si>
  <si>
    <t>$E$1は絶対参照でコピーしても不変。B2は相対参照でB3,B4と自動調整。F4キーで参照切替え。</t>
  </si>
  <si>
    <t>相対/絶対/複合参照</t>
  </si>
  <si>
    <t>[@単価]*[@数量] と入力。テーブル内では構造化参照（列名）を使用できる。</t>
  </si>
  <si>
    <t>SUM, AVERAGE, MAX, MIN</t>
  </si>
  <si>
    <t>B22に合計、B23に平均、B24に最大、B25に最小を求める数式を入力。対象はB2:B20。</t>
  </si>
  <si>
    <t>SUM(合計), AVERAGE(平均), MAX(最大), MIN(最小)。基本集計関数。</t>
  </si>
  <si>
    <t>COUNT, COUNTA, COUNTBLANK</t>
  </si>
  <si>
    <t>E2に数値数、E3に空白以外のセル数、E4に空白セル数を求める数式を入力。対象はA2:A20。</t>
  </si>
  <si>
    <t>COUNTは数値セル、COUNTAは空白以外、COUNTBLANKは空白セルを数える。</t>
  </si>
  <si>
    <t>IF関数</t>
  </si>
  <si>
    <t>セルD2に、B2が80以上なら「合格」、それ以外なら「不合格」と表示する数式を入力してください。</t>
  </si>
  <si>
    <t>IF(B2&gt;=80,"合格","不合格")。IF(条件,真の場合,偽の場合)の構文。</t>
  </si>
  <si>
    <t>SORT関数</t>
  </si>
  <si>
    <t>セルG1を起点に、A1:B10のデータをB列の降順で並べ替えた結果を表示してください。</t>
  </si>
  <si>
    <t>SORT(A1:B10,2,-1)。第2引数は並べ替え列番号、-1は降順。スピルで結果が自動展開。</t>
  </si>
  <si>
    <t>UNIQUE関数</t>
  </si>
  <si>
    <t>セルD1を起点に、A1:A20のデータから重複を除いた一意のリストを表示してください。</t>
  </si>
  <si>
    <t>UNIQUE(A1:A20)。重複を除いた一意の値がスピルで自動展開される。</t>
  </si>
  <si>
    <t>RIGHT, LEFT, MID関数</t>
  </si>
  <si>
    <t>セルA1「ABC-12345-XY」から、B1に左から3文字、C1に右から2文字、D1に5番目から5文字を抽出してください。</t>
  </si>
  <si>
    <t>B1: LEFT(A1,3), C1: RIGHT(A1,2), D1: MID(A1,5,5)。文字列の一部を取り出す関数。</t>
  </si>
  <si>
    <t>UPPER, LOWER, LEN関数</t>
  </si>
  <si>
    <t>セルA1「Hello World」をB1に全て大文字、C1に全て小文字、D1に文字数を表示してください。</t>
  </si>
  <si>
    <t>B1: UPPER(A1), C1: LOWER(A1), D1: LEN(A1)。文字列の変換と長さを求める関数。</t>
  </si>
  <si>
    <t>CONCAT, TEXTJOIN関数</t>
  </si>
  <si>
    <t>A列の姓とB列の名をC列にCONCATで結合し、D列にTEXTJOINで「 」区切りで結合してください。</t>
  </si>
  <si>
    <t>C1: CONCAT(A1,B1), D1: TEXTJOIN(" ",TRUE,A1,B1)。TEXTJOINは区切り文字を指定できる。</t>
  </si>
  <si>
    <t>5. グラフの管理</t>
  </si>
  <si>
    <t>グラフを作成する</t>
  </si>
  <si>
    <t>セル範囲A1:D5のデータを基に、集合縦棒グラフを作成し、セル範囲H1:N15に配置してください。</t>
  </si>
  <si>
    <t>データ範囲を選択→【挿入】タブ→【おすすめグラフ】または【縦棒】→集合縦棒を選択。ドラッグで配置。</t>
  </si>
  <si>
    <t>円グラフを作成する</t>
  </si>
  <si>
    <t>地域別売上データを基に円グラフを作成し、データラベルにパーセンテージを表示してください。</t>
  </si>
  <si>
    <t>データを選択→【挿入】→【円】→グラフをクリック→【データラベル】→「パーセンテージ」にチェック。</t>
  </si>
  <si>
    <t>グラフをグラフシートに移動</t>
  </si>
  <si>
    <t>作成した折れ線グラフをグラフシートに移動し、シート名を「売上推移グラフ」としてください。</t>
  </si>
  <si>
    <t>グラフを選択→【グラフデザイン】タブ→【グラフの移動】→「新しいシート」→名前を入力→OK。</t>
  </si>
  <si>
    <t>データ系列を追加する</t>
  </si>
  <si>
    <t>集合縦棒グラフに新しいデータ系列（E列のデータ）を追加してください。</t>
  </si>
  <si>
    <t>グラフを選択→右クリック→【データの選択】→【追加】→新しいデータ範囲を指定→OK。</t>
  </si>
  <si>
    <t>行と列を入れ替える</t>
  </si>
  <si>
    <t>グラフの横軸と凡例を入れ替えて、横軸に科目、凡例に名前を表示してください。</t>
  </si>
  <si>
    <t>グラフを選択→【グラフデザイン】タブ→【行/列の切り替え】をクリック。</t>
  </si>
  <si>
    <t>グラフタイトルとレイアウト</t>
  </si>
  <si>
    <t>グラフタイトルを「月別売上推移」に変更し、グラフのレイアウトを「レイアウト3」に変更してください。</t>
  </si>
  <si>
    <t>グラフタイトルをクリックして直接編集。レイアウト：【グラフデザイン】→【クイックレイアウト】から選択。</t>
  </si>
  <si>
    <t>グラフを書式設定する</t>
  </si>
  <si>
    <t>グラフのスタイルを「スタイル4」に変更し、軸ラベルと凡例を表示してください。</t>
  </si>
  <si>
    <t>グラフを選択→【グラフデザイン】タブ→【グラフスタイル】から選択。軸ラベルは【グラフ要素を追加】から。</t>
  </si>
  <si>
    <t>RANDBETWEEN(1,100) を入力。再計算のたびに値が変わる。F9キーで再計算可能。</t>
  </si>
  <si>
    <t>問題番号</t>
  </si>
  <si>
    <t>Q1</t>
  </si>
  <si>
    <t>■ 問題</t>
  </si>
  <si>
    <t>■ ポイント・解説</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</si>
  <si>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</si>
  <si>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</si>
  <si>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</si>
  <si>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</si>
  <si>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</si>
  <si>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</si>
  <si>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</si>
  <si>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</si>
  <si>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</si>
  <si>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</si>
  <si>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</si>
  <si>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</si>
  <si>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</si>
  <si>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</si>
  <si>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</si>
  <si>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</si>
  <si>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</si>
  <si>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</si>
  <si>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</si>
  <si>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</si>
  <si>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</si>
  <si>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</si>
  <si>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</si>
  <si>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</si>
  <si>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</si>
  <si>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</si>
  <si>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</si>
  <si>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</si>
  <si>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</si>
  <si>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</si>
  <si>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</si>
  <si>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</si>
  <si>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</si>
  <si>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</si>
  <si>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</si>
  <si>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</si>
  <si>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</si>
  <si>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</si>
  <si>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</si>
  <si>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</si>
  <si>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</si>
  <si>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</si>
  <si>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</si>
  <si>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</si>
  <si>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</si>
  <si>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</si>
  <si>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</si>
  <si>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</si>
  <si>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</si>
  <si>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</si>
  <si>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</si>
  <si>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</si>
  <si>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</si>
  <si>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</si>
  <si>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</si>
  <si>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</si>
  <si>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</si>
  <si>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</si>
  <si>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</si>
  <si>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SEQUENCE(5,3,1,1) を入力。スピル機能で5行X3列に連続数値が自動展開される。</t>
  </si>
  <si>
    <t>問題文</t>
  </si>
  <si>
    <t>正解の操作手順（詳細解説）</t>
  </si>
  <si>
    <t>補足・試験のコツ</t>
  </si>
  <si>
    <t>① 【データ】タブをクリック
② 【データの取得と変換】グループの【テキストまたはCSVから】をクリック
③ ファイル選択ダイアログで、デスクトップの「売上データ.txt」を選択して【インポート】
④ プレビュー画面で区切り記号が「タブ」になっていることを確認
⑤ 【読み込み】ボタンをクリック（または▼から【読み込み先...】で新しいワークシートを指定）
⑥ 新しいシートにデータがテーブル形式で配置される</t>
  </si>
  <si>
    <t>・区切り記号の自動検出が正しいか必ず確認する
・Power Queryエディターで変換してから読み込むことも可能
・「読み込み先」で既存シートか新規シートか選択できる</t>
  </si>
  <si>
    <t>① 【データ】タブをクリック
② 【テキストまたはCSVから】をクリック
③ 「顧客リスト.csv」を選択して【インポート】
④ プレビューで区切り記号が「コンマ」であることを確認
⑤ 【読み込み】の▼→【読み込み先...】を選択
⑥ 「既存のワークシート」を選び、シート「顧客」のセルを指定
⑦ 【OK】をクリック</t>
  </si>
  <si>
    <t>・CSVはComma Separated Values（カンマ区切り）
・文字コード（UTF-8等）が正しいかプレビューで確認
・読み込み先を「既存のワークシート」に指定するのがポイント</t>
  </si>
  <si>
    <t>① Ctrl+F（またはホームタブ→検索と選択→検索）を押す
② 【検索と置換】ダイアログが開く
③ 【検索する文字列】に「東京」と入力
④ 【オプション】をクリックし、検索場所を「ブック」に変更（デフォルトは「シート」）
⑤ 【すべて検索】をクリック
⑥ 下部に該当セルの一覧が表示される
⑦ 一覧から任意の行をクリックすると、該当セルに移動する</t>
  </si>
  <si>
    <t>・試験では「ブック全体」か「シート」かの検索範囲に注意
・Ctrl+Hで「置換」タブも利用可能
・大文字/小文字の区別、セル内容が完全一致するオプションもある</t>
  </si>
  <si>
    <t>① 数式バーの左にある【名前ボックス】をクリック
② 「売上合計」と入力してEnterキーを押す
③ 名前付き範囲「売上合計」のセルが選択・移動される
（別の方法）
① Ctrl+G（またはF5）で【ジャンプ】ダイアログを開く
② 参照先に「売上合計」を入力するか、一覧から選択
③ 【OK】をクリック</t>
  </si>
  <si>
    <t>・名前ボックスは数式バーの左端にある
・名前ボックスのドロップダウンからも選択可能
・Ctrl+G / F5キーでジャンプダイアログも使える</t>
  </si>
  <si>
    <t>① セルA10を選択
② 【挿入】タブ→【リンク】をクリック（またはCtrl+K）
③ 【ハイパーリンクの挿入】ダイアログが開く
④ 左側の【リンク先】で【このドキュメント内】を選択
⑤ シート一覧から「詳細データ」を選択し、セル参照に「A1」と入力
⑥ 【表示文字列】に「詳細はこちら」と入力
⑦ 【OK】をクリック</t>
  </si>
  <si>
    <t>・リンク先は「このドキュメント内」「既存のファイル」「Webページ」「メールアドレス」から選択
・Ctrl+Kがショートカット
・表示文字列を設定しないとセル参照が表示される</t>
  </si>
  <si>
    <t>① セルB5を右クリック
② コンテキストメニューから【ハイパーリンクの削除】を選択
③ ハイパーリンクが削除され、セルの値（テキスト）はそのまま残る</t>
  </si>
  <si>
    <t>・「ハイパーリンクの削除」＝リンクのみ削除、値は保持
・「セルの内容をクリア」するとリンクも値も消えるので注意
・書式（青字・下線）も通常のテキストに戻る</t>
  </si>
  <si>
    <t>① シート「月次報告」のタブをクリックして移動
② 【ページレイアウト】タブをクリック
③ 【ページ設定】グループの【印刷の向き】をクリック
④ 【横】を選択
⑤ 同じグループの【サイズ】をクリック
⑥ 一覧から【A4】を選択</t>
  </si>
  <si>
    <t>・印刷の向き：縦（ポートレート）/ 横（ランドスケープ）
・ページレイアウトタブで余白・サイズ・向きをまとめて設定
・「ページ設定」ダイアログからも一括設定可能</t>
  </si>
  <si>
    <t>① A列の列見出し「A」をクリックしてA列全体を選択
② 右クリック→【列の幅】を選択
③ 「20」と入力して【OK】
④ 1行目の行番号「1」をクリックして1行目全体を選択
⑤ 右クリック→【行の高さ】を選択
⑥ 「30」と入力して【OK】</t>
  </si>
  <si>
    <t>・列幅の単位は「文字数」（標準フォントの文字幅基準）
・行の高さの単位は「ポイント」
・列の境界線をダブルクリックで自動調整（最適な幅）も可能
・【ホーム】→【書式】からも設定可能</t>
  </si>
  <si>
    <t>① 【挿入】タブ→【テキスト】グループ→【ヘッダーとフッター】をクリック
② ページレイアウトビューに切り替わる
③ ヘッダーの中央部分をクリック
④ 【ヘッダーとフッター】タブ→【シート名】ボタンをクリック（&amp;[シート名]が挿入される）
⑤ フッター部分にスクロールし、右側のフッターをクリック
⑥ 【ページ番号】ボタンをクリック（&amp;[ページ番号]が挿入される）
⑦ セルをクリックして編集を終了</t>
  </si>
  <si>
    <t>・ヘッダー/フッターは左・中央・右の3つのセクション
・&amp;[シート名]、&amp;[ページ番号]等の特殊コードが挿入される
・【ページレイアウト】タブ→【ページ設定】ダイアログからも設定可能</t>
  </si>
  <si>
    <t>① クイックアクセスツールバーの右端にある▼（ユーザー設定）ボタンをクリック
② ドロップダウンから【クイック印刷】にチェックを入れる
（一覧にない場合）
③ 【その他のコマンド...】をクリック
④ 【コマンドの選択】ドロップダウンで「すべてのコマンド」を選択
⑤ 一覧から「クイック印刷」を探して選択
⑥ 【追加 &gt;&gt;】ボタンをクリック
⑦ 【OK】をクリック</t>
  </si>
  <si>
    <t>・クイックアクセスツールバーはタイトルバーの左端
・よく使うコマンドを追加してカスタマイズ可能
・右クリック→「クイックアクセスツールバーに追加」でも可</t>
  </si>
  <si>
    <t>① 【表示】タブをクリック
② 【ブックの表示】グループから【改ページプレビュー】をクリック
（別の方法）
③ ステータスバー（画面下部）の右側にあるビューアイコンから「改ページプレビュー」アイコンをクリック</t>
  </si>
  <si>
    <t>・ビューの種類：標準 / 改ページプレビュー / ページレイアウト
・改ページプレビューでは印刷範囲とページの区切りが青線で表示
・青い破線をドラッグして改ページ位置を調整可能</t>
  </si>
  <si>
    <t>① セルB2を選択する（固定したい行の下かつ列の右のセル）
② 【表示】タブをクリック
③ 【ウィンドウ】グループの【ウィンドウ枠の固定】をクリック
④ ドロップダウンから【ウィンドウ枠の固定】を選択</t>
  </si>
  <si>
    <t>・選択したセルの「上」と「左」が固定される
・B2を選択すると1行目（上）とA列（左）が固定
・「先頭行の固定」「先頭列の固定」は個別の固定
・解除は【ウィンドウ枠固定の解除】</t>
  </si>
  <si>
    <t>① 【数式】タブをクリック
② 【数式の監査】グループの【数式の表示】をクリック
（別の方法）
③ Ctrl+`（バッククォート）キーを押す
④ セルに数式がそのまま表示される（値の代わりに数式文字列）
⑤ もう一度同じ操作で元の表示に戻る</t>
  </si>
  <si>
    <t>・Ctrl+`でトグル切り替え可能（ON/OFF）
・列幅が自動的に広がることがある
・印刷時にも数式を印刷できる
・試験ではショートカットキーも覚えておくと良い</t>
  </si>
  <si>
    <t>① セル範囲A1:F20を選択する
② 【ページレイアウト】タブをクリック
③ 【ページ設定】グループの【印刷範囲】をクリック
④ 【印刷範囲の設定】を選択</t>
  </si>
  <si>
    <t>・設定後、名前ボックスに「Print_Area」という名前が定義される
・【印刷範囲のクリア】で解除可能
・複数の印刷範囲を設定すると、別ページに印刷される
・Ctrl+Pで印刷プレビューを確認するとよい</t>
  </si>
  <si>
    <t>① 【ファイル】タブ→【名前を付けて保存】（またはF12）をクリック
② 保存場所で「デスクトップ」を選択
③ ファイル名を「月次レポート」に変更
④ 「ファイルの種類」ドロップダウンから「PDF」を選択
⑤ 【保存】をクリック
（別の方法）
① 【ファイル】→【エクスポート】→【PDF/XPSドキュメントの作成】でも可</t>
  </si>
  <si>
    <t>・PDF保存は「名前を付けて保存」と「エクスポート」の2つの方法がある
・保存前に「オプション」でページ範囲や品質を設定可能
・「ファイルの種類」変更が重要なポイント</t>
  </si>
  <si>
    <t>項目</t>
  </si>
  <si>
    <t>内容</t>
  </si>
  <si>
    <t>正解の操作手順</t>
  </si>
  <si>
    <t>重要ポイント</t>
  </si>
  <si>
    <t>【データ】タブ→【テキストまたはCSVから】が基本操作。タブ区切りの場合は区切り記号を必ず確認。</t>
  </si>
  <si>
    <t>関連ショートカット</t>
  </si>
  <si>
    <t>特になし（リボン操作が中心）</t>
  </si>
  <si>
    <t>「読み込み先」で既存シートを指定する操作がQ1との違い。</t>
  </si>
  <si>
    <t>検索場所を「ブック」に変更するのが重要。デフォルトは「シート」のみ。</t>
  </si>
  <si>
    <t>Ctrl+F（検索）、Ctrl+H（置換）</t>
  </si>
  <si>
    <t>名前ボックスに直接入力してEnterが最速の方法。</t>
  </si>
  <si>
    <t>Ctrl+G / F5（ジャンプダイアログ）</t>
  </si>
  <si>
    <t>リンク先を「このドキュメント内」に設定し、シートとセルを正確に指定する。</t>
  </si>
  <si>
    <t>Ctrl+K（ハイパーリンクの挿入）</t>
  </si>
  <si>
    <t>右クリック→【ハイパーリンクの削除】で値を残してリンクだけ削除。</t>
  </si>
  <si>
    <t>右クリックメニューから操作</t>
  </si>
  <si>
    <t>【ページレイアウト】タブの【印刷の向き】と【サイズ】で設定。</t>
  </si>
  <si>
    <t>列幅は「文字数」、行の高さは「ポイント」単位。右クリックメニューか【ホーム】→【書式】。</t>
  </si>
  <si>
    <t>特になし（右クリックメニューが中心）</t>
  </si>
  <si>
    <t>ヘッダー/フッターは3セクション。シート名やページ番号はボタンで特殊コードを挿入。</t>
  </si>
  <si>
    <t>▼ボタンから追加するか、【その他のコマンド】で「すべてのコマンド」から探す。</t>
  </si>
  <si>
    <t>特になし（GUI操作が中心）</t>
  </si>
  <si>
    <t>【表示】タブまたはステータスバーのアイコンで切り替え。</t>
  </si>
  <si>
    <t>ステータスバーのアイコンクリックが最速</t>
  </si>
  <si>
    <t>固定したい行の1つ下、列の1つ右のセルを選択してから実行する。B2選択で1行目+A列固定。</t>
  </si>
  <si>
    <t>Ctrl+`（バッククォート）でトグル切替が最速。</t>
  </si>
  <si>
    <t>Ctrl+`（バッククォート）</t>
  </si>
  <si>
    <t>範囲を先に選択→【ページレイアウト】→【印刷範囲】→【印刷範囲の設定】。</t>
  </si>
  <si>
    <t>Ctrl+P（印刷プレビュー確認用）</t>
  </si>
  <si>
    <t>ファイルの種類を「PDF」に変更するのがポイント。F12で「名前を付けて保存」ダイアログを開く。</t>
  </si>
  <si>
    <t>F12（名前を付けて保存）</t>
  </si>
  <si>
    <t>① 【ページレイアウト】タブをクリック
② 【ページ設定】グループの【印刷タイトル】をクリック
③ 【ページ設定】ダイアログの【シート】タブが開く
④ 「タイトル行」の入力欄をクリック
⑤ シート上の1行目をクリック（$1:$1と入力される）
⑥ 【OK】をクリック</t>
  </si>
  <si>
    <t>・タイトル行は繰り返し印刷したい行を指定
・タイトル列も同様に設定可能（左端の列を繰り返す場合）
・印刷プレビューで2ページ目に見出しが表示されるか確認</t>
  </si>
  <si>
    <t>【ページレイアウト】→【印刷タイトル】→「タイトル行」に$1:$1を設定。</t>
  </si>
  <si>
    <t>① 【ファイル】タブをクリック
② 【情報】をクリック
③ 【問題のチェック】→【ドキュメント検査】をクリック
④ 検査項目のチェックボックスを確認（必要に応じて選択）
⑤ 【検査】ボタンをクリック
⑥ 結果が表示される
⑦ 「ドキュメントのプロパティと個人情報」の【すべて削除】をクリック</t>
  </si>
  <si>
    <t>・ドキュメント検査は共有前に実行するのが推奨
・削除した情報は元に戻せないので、事前にバックアップを推奨
・コメント、非表示の行/列、カスタムXMLデータなども検査可能</t>
  </si>
  <si>
    <t>【ファイル】→【情報】→【問題のチェック】→【ドキュメント検査】の流れ。</t>
  </si>
  <si>
    <t>特になし（Backstageビュー操作）</t>
  </si>
  <si>
    <t>① 【ファイル】タブ→【情報】をクリック
② 【問題のチェック】→【アクセシビリティチェック】をクリック
③ 右側にアクセシビリティパネルが表示される
④ 問題点の一覧を確認
⑤ グラフを右クリック→【代替テキストの編集】を選択
⑥ 代替テキストに「売上推移グラフ」と入力
⑦ パネルを閉じる</t>
  </si>
  <si>
    <t>・代替テキストは画像やグラフに設定する説明文
・スクリーンリーダー利用者向けのアクセシビリティ対応
・【校閲】タブからもアクセシビリティチェック可能
・Excel 365では代替テキストの自動生成機能もある</t>
  </si>
  <si>
    <t>アクセシビリティチェック後、グラフを右クリック→【代替テキストの編集】で設定。</t>
  </si>
  <si>
    <t>特になし（リボン/Backstageビュー操作）</t>
  </si>
  <si>
    <t>① 【ファイル】タブをクリック
② 【情報】をクリック
③ 【問題のチェック】→【互換性チェック】をクリック
④ 互換性チェックダイアログが表示される
⑤ 以前のバージョンで失われる機能や忠実度の低下を確認
⑥ 【OK】をクリック</t>
  </si>
  <si>
    <t>・.xlsx形式でも古いExcelバージョンとの互換性問題がある場合がある
・「保存時に互換性を確認する」チェックボックスがある
・新しい関数（XLOOKUP等）は古いバージョンでは使えない
・条件付き書式のルール数制限なども確認される</t>
  </si>
  <si>
    <t>【ファイル】→【情報】→【問題のチェック】→【互換性チェック】。</t>
  </si>
  <si>
    <t>セルC5にコメント（スレッド形式）で「確認してください」と入力し、セルD3にメモで「前年比120%」と記入してください。</t>
  </si>
  <si>
    <t>① セルC5を選択
② 右クリック→【新しいコメント】を選択（またはCtrl+Shift+M）
③ コメント欄に「確認してください」と入力
④ 【投稿】ボタンをクリック（またはCtrl+Enter）
⑤ セルD3を選択
⑥ 右クリック→【メモの挿入】を選択（またはShift+F2）
⑦ メモ欄に「前年比120%」と入力
⑧ セル外をクリックして確定</t>
  </si>
  <si>
    <t>・Excel 365ではコメントはスレッド形式（返信可能・共同作業向け）
・メモは旧来の付箋型（個人的なメモ向け）
・コメントは右上に紫のマーカー、メモは赤い三角マーカー
・【校閲】タブからも挿入可能</t>
  </si>
  <si>
    <t>コメント＝スレッド形式（共同作業用）、メモ＝付箋型（個人用）。Excel 365での区別が重要。</t>
  </si>
  <si>
    <t>Ctrl+Shift+M（コメント）、Shift+F2（メモ）</t>
  </si>
  <si>
    <t>① セル範囲A1:D5を選択
② Ctrl+C（またはホームタブ→コピー）でコピー
③ セルF1を選択
④ 【ホーム】タブ→【貼り付け】の▼をクリック
⑤ 【値の貼り付け】セクションから【値】アイコンをクリック
（別の方法）
⑥ Ctrl+Alt+V→【値】を選択→【OK】</t>
  </si>
  <si>
    <t>・「値のみ」＝数式の結果だけを貼り付け（数式・書式は貼り付けない）
・書式のみ、数式のみなど様々な貼り付けオプションがある
・Ctrl+Alt+Vで「形式を選択して貼り付け」ダイアログが開く</t>
  </si>
  <si>
    <t>【貼り付け】▼→【値】で数式の結果だけを貼り付け。Ctrl+Alt+Vも覚えておく。</t>
  </si>
  <si>
    <t>Ctrl+C（コピー）、Ctrl+Alt+V（形式を選択して貼り付け）</t>
  </si>
  <si>
    <t>① コピー元の範囲を選択してCtrl+C
② 貼り付け先のセルを選択
③ 【ホーム】タブ→【貼り付け】の▼→【形式を選択して貼り付け】をクリック
④ ダイアログで【行列を入れ替える】にチェック
⑤ 【OK】をクリック
（別の方法）
⑥ 貼り付けオプションから【行/列の入れ替え】アイコンを選択</t>
  </si>
  <si>
    <t>・行と列が入れ替わる（横→縦、縦→横）
・元データの行数が新データの列数になる
・「値」と「行列入れ替え」を同時に選択することも可能
・セル結合がある場合はエラーになることがある</t>
  </si>
  <si>
    <t>形式を選択して貼り付け→【行列を入れ替える】チェック。行と列が転置される。</t>
  </si>
  <si>
    <t>Ctrl+C→Ctrl+Alt+V（形式を選択して貼り付け）</t>
  </si>
  <si>
    <t>① セルA1に「月曜日」と入力してEnter
② セルA1を再選択
③ セル右下の■（フィルハンドル）にマウスを合わせる（+マークに変わる）
④ A7までドラッグ
⑤ 火曜日～日曜日が自動的に入力される</t>
  </si>
  <si>
    <t>・Excelは曜日・月名・連番などのパターンを自動認識
・Ctrlキーを押しながらドラッグするとコピー（連続データにならない）
・右クリックドラッグで「連続データ」「コピー」の選択が可能
・【ホーム】→【フィル】→【連続データの作成】でも詳細設定可能</t>
  </si>
  <si>
    <t>フィルハンドル（右下の■）をドラッグ。曜日パターンは自動認識される。</t>
  </si>
  <si>
    <t>フィルハンドルのドラッグ操作</t>
  </si>
  <si>
    <t>① 4行目の行番号「4」をクリック
② Shiftキーを押しながら5行目の行番号「5」をクリック（4-5行目を選択）
③ 右クリック→【挿入】を選択
④ 選択した行数分（2行）の空白行が4行目の上に挿入される
（別の方法）
⑤ 【ホーム】タブ→【セル】グループ→【挿入】→【シートの行を挿入】</t>
  </si>
  <si>
    <t>・選択した行数分の行が上に挿入される
・列の挿入は左に挿入される
・Ctrl+Shift+「+」で挿入のショートカット
・挿入した行は上の行の書式を引き継ぐ</t>
  </si>
  <si>
    <t>挿入したい行数分を選択→右クリック→【挿入】。選択した行の上に空白行が入る。</t>
  </si>
  <si>
    <t>Ctrl+Shift+「+」（挿入）、Ctrl+「-」（削除）</t>
  </si>
  <si>
    <t>① セルB3を選択
② 右クリック→【削除】を選択
③ 【削除】ダイアログで【上方向にシフト】を選択
④ 【OK】をクリック
⑤ B3以下のセルが1つ上に移動する</t>
  </si>
  <si>
    <t>・セルの削除には4つの方向がある：上方向/左方向にシフト、行全体/列全体
・Deleteキーは「内容のクリア」（セル自体は残る）
・Ctrl+「-」でも削除ダイアログが開く
・行全体・列全体の削除はダイアログなしで即実行される</t>
  </si>
  <si>
    <t>右クリック→【削除】→【上方向にシフト】。Deleteキーとセル削除の違いを理解する。</t>
  </si>
  <si>
    <t>Ctrl+「-」（削除ダイアログ）</t>
  </si>
  <si>
    <t>① セルA1を選択
② 「=RANDBETWEEN(1,100)」と入力
③ Enterキーを押す
④ 1から100の間のランダムな整数が表示される</t>
  </si>
  <si>
    <t>・RANDBETWEEN(最小値,最大値)の構文
・F9キーまたはシートの再計算のたびに値が変わる
・値を固定したい場合は、コピー→値のみ貼り付けする
・RAND()は0～1の小数を返す関数（別物）</t>
  </si>
  <si>
    <t>項目</t>
    <phoneticPr fontId="3"/>
  </si>
  <si>
    <t>内容</t>
    <phoneticPr fontId="3"/>
  </si>
  <si>
    <t>1. セルA1を選択
2. =RANDBETWEEN(1,100) と入力
3. Enterキーを押す
4. 1から100の間のランダムな整数が表示される</t>
  </si>
  <si>
    <t>RANDBETWEEN(最小値,最大値)の構文
F9キーまたはシートの再計算のたびに値が変わる
値を固定したい場合はコピーして値のみ貼り付けする
RAND()は0から1の小数を返す別の関数</t>
  </si>
  <si>
    <t>1. セルA1を選択
2. 「=RANDBETWEEN(1,100)」と入力
3. Enterキーを押す
4. 1から100の間のランダムな整数が表示される</t>
  </si>
  <si>
    <t>「=RANDBETWEEN(1,100)」で1から100のランダム整数。再計算で値が変わる点に注意。</t>
  </si>
  <si>
    <t>F9（再計算）</t>
  </si>
  <si>
    <t>1. セルA1を選択
2. 「=SEQUENCE(5,3,1,1)」と入力
3. Enterキーを押す
4. A1:C5に1から15の連番がスピルで自動展開される</t>
  </si>
  <si>
    <t>SEQUENCE(行数,列数,開始値,増分)の構文
第3引数（開始値）省略時は1から開始
第4引数（増分）省略時は1ずつ増加
スピル機能で隣接セルに自動的に結果が展開される
スピル先にデータがあると#SPILL!エラー</t>
  </si>
  <si>
    <t>「=SEQUENCE(5,3,1,1)」で5行3列の連番。スピル機能で自動展開される365の新関数。</t>
  </si>
  <si>
    <t>特になし</t>
  </si>
  <si>
    <t>1. セル範囲A1:D1を選択
2. 【ホーム】タブの【配置】グループ→【セルを結合して中央揃え】をクリック
3. セルが結合される
4. 「年間売上報告書」と入力してEnter</t>
  </si>
  <si>
    <t>【セルを結合して中央揃え】ボタンの▼で他オプションも選択可能
横方向に結合、セルの結合、セル結合の解除がある
結合すると左上のセルの値のみ残り他は削除される
並べ替えやフィルターに影響するためデータ範囲内での結合は避ける</t>
  </si>
  <si>
    <t>【ホーム】→【セルを結合して中央揃え】。データ範囲内では使用を避けるのがベストプラクティス。</t>
  </si>
  <si>
    <t>特になし（リボン操作）</t>
  </si>
  <si>
    <t>1. セル範囲C2:C20を選択
2. 【ホーム】タブ→【数値】グループの【桁区切りスタイル】ボタン（,）をクリック
3. 桁区切り（1,000形式）が適用される
4. 【小数点以下の桁数を減らす】ボタンをクリックして0桁にする
（別の方法）Ctrl+1→【表示形式】タブ→【数値】→小数点以下桁数を「0」に設定</t>
  </si>
  <si>
    <t>桁区切りスタイル（,ボタン）は#,##0形式を適用
通貨スタイル（円ボタン）は通貨形式
パーセントスタイル（%ボタン）は0%形式
Ctrl+1で「セルの書式設定」ダイアログを直接開ける</t>
  </si>
  <si>
    <t>【桁区切りスタイル】ボタン→【小数点以下の桁数を減らす】で調整。Ctrl+1で詳細設定。</t>
  </si>
  <si>
    <t>Ctrl+1（セルの書式設定）、Ctrl+Shift+1（桁区切り）</t>
  </si>
  <si>
    <t>1. セル範囲D2:D10を選択
2. Ctrl+1（セルの書式設定ダイアログを開く）
3. 【表示形式】タブをクリック
4. 分類で【ユーザー定義】を選択
5. 「種類」欄に「yyyy/mm/dd」と入力
6. 【OK】をクリック</t>
  </si>
  <si>
    <t>日付の書式コード：yyyy（4桁年）、mm（2桁月）、dd（2桁日）
その他の形式例：yyyy年m月d日、mm/dd/yyyy、yy/mm/dd
分類の「日付」から選ぶこともできるがユーザー定義がより正確
日付のシリアル値を理解しておくと良い</t>
  </si>
  <si>
    <t>Ctrl+1→【ユーザー定義】→「yyyy/mm/dd」を入力。日付書式コードを覚えておく。</t>
  </si>
  <si>
    <t>Ctrl+1（セルの書式設定）</t>
  </si>
  <si>
    <t>1. セル範囲A1:F1を選択
2. 【ホーム】タブ→【スタイル】グループ→【セルのスタイル】をクリック
3. 「タイトルと見出し」セクションから「見出し1」を選択
4. セルA3を選択
5. 【ホーム】タブ→【配置】グループ→【折り返して全体を表示する】をクリック</t>
  </si>
  <si>
    <t>セルスタイルはフォント、塗りつぶし、罫線などをまとめて適用できる
「折り返して全体を表示する」でセル内の長文が全て表示される
Alt+Enterでセル内改行も可能
スタイルは後から変更・カスタマイズ可能</t>
  </si>
  <si>
    <t>【セルのスタイル】で見出し適用、【折り返して全体を表示する】でテキスト折り返し。</t>
  </si>
  <si>
    <t>Alt+Enter（セル内改行）</t>
  </si>
  <si>
    <t>1. セル範囲B2:B20を選択
2. 名前ボックス（数式バーの左）をクリック
3. 「月間売上」と入力してEnter
4. 名前付き範囲が定義される
5. セルE1を選択
6. 「=SUM(月間売上)」と入力してEnter</t>
  </si>
  <si>
    <t>名前ボックスに名前を入力してEnterで簡単に定義できる
【数式】タブ→【名前の定義】からも定義可能
名前付き範囲は数式内で直接使用できる
名前の管理は【数式】タブ→【名前の管理】</t>
  </si>
  <si>
    <t>名前ボックスで名前を定義→数式内で「=SUM(月間売上)」のように直接参照できる。</t>
  </si>
  <si>
    <t>Ctrl+F3（名前の管理）</t>
  </si>
  <si>
    <t>1. セル範囲C2:C15を選択
2. 【ホーム】タブ→【条件付き書式】をクリック
3. 【セルの強調表示ルール】→【指定の値より大きい】を選択
4. 値に「79」と入力（80以上なので79より大きい）
5. 書式ドロップダウンから「濃い緑の文字、緑の背景」を選択
6. 【OK】をクリック</t>
  </si>
  <si>
    <t>「80以上」は「79より大きい」と同じ意味で設定する
「指定の値以上」を使う場合は【新しいルール】→【セルの値】→【次の値以上】で80を指定
ルールの優先順位は【条件付き書式ルールの管理】で変更可能
複数のルールを重ねて設定できる</t>
  </si>
  <si>
    <t>【条件付き書式】→【セルの強調表示ルール】で条件と書式を設定。「以上」と「より大きい」の違いに注意。</t>
  </si>
  <si>
    <t>1. セル範囲D2:D10を選択
2. 【ホーム】タブ→【条件付き書式】をクリック
3. 【データバー】にカーソルを合わせる
4. 「グラデーション」セクションから「青のデータバー」を選択
5. データバーがセルの値に応じて表示される</t>
  </si>
  <si>
    <t>データバーは値の大小を視覚的に比較できる
グラデーションと単色の2種類がある
データバーの方向・最小値・最大値はルールの編集でカスタマイズ可能
アイコンセットやカラースケールも同様の視覚的書式</t>
  </si>
  <si>
    <t>【条件付き書式】→【データバー】→青のグラデーションを選択。値の大小を視覚化。</t>
  </si>
  <si>
    <t>1. セルH2を選択
2. 【挿入】タブをクリック
3. 【スパークライン】グループ→【折れ線】をクリック
4. 【スパークラインの作成】ダイアログが表示される
5. データ範囲に「B2:G2」を指定
6. 場所の範囲は「H2」（自動入力済み）
7. 【OK】をクリック</t>
  </si>
  <si>
    <t>スパークラインは3種類：折れ線、縦棒、勝敗
セル内にミニグラフを表示する機能
【スパークライン】タブでスタイルやオプションを変更可能
頂点（山）や谷の表示もカスタマイズできる</t>
  </si>
  <si>
    <t>【挿入】→【スパークライン】→【折れ線】でセル内ミニグラフを作成。</t>
  </si>
  <si>
    <t>1. セル範囲A1:E20を選択（またはA1:E20内の任意のセルをクリック）
2. 【挿入】タブ→【テーブル】をクリック（またはCtrl+T）
3. 【テーブルの作成】ダイアログが表示される
4. データ範囲が$A$1:$E$20になっていることを確認
5. 「先頭行をテーブルの見出しとして使用する」にチェック
6. 【OK】をクリック</t>
  </si>
  <si>
    <t>Ctrl+Tでテーブル作成ダイアログを素早く開ける
テーブルに変換するとフィルターボタンが自動追加される
構造化参照が使えるようになる
テーブルは自動拡張される（下にデータを追加すると自動的にテーブルに含まれる）</t>
  </si>
  <si>
    <t>Ctrl+Tでテーブル作成。「先頭行をテーブルの見出しとして使用する」のチェックが重要。</t>
  </si>
  <si>
    <t>Ctrl+T（テーブルの作成）</t>
  </si>
  <si>
    <t>1. テーブル内の任意のセルをクリック
2. 【テーブルデザイン】タブが表示される
3. 【テーブルスタイル】グループのギャラリーを展開（▼をクリック）
4. 「中間」セクションから「青、テーブルスタイル（中間）2」を選択
5. スタイルが適用される</t>
  </si>
  <si>
    <t>テーブルスタイルは「淡色」「中間」「濃色」の3カテゴリ
マウスホバーでプレビュー表示される
スタイルのカスタマイズも可能（新しいテーブルスタイルの作成）
スタイルはいつでも変更可能</t>
  </si>
  <si>
    <t>【テーブルデザイン】タブ→【テーブルスタイル】ギャラリーからスタイルを選択。</t>
  </si>
  <si>
    <t>1. テーブル内の任意のセルをクリック
2. 【テーブルデザイン】タブをクリック
3. 【ツール】グループの【範囲に変換】をクリック
4. 確認メッセージ「テーブルを標準の範囲に変換しますか？」で【はい】をクリック
5. テーブルが通常の範囲に変換される（書式はそのまま）</t>
  </si>
  <si>
    <t>範囲に変換してもテーブルの書式（色・フォント等）はそのまま残る
フィルターボタンや構造化参照は使えなくなる
テーブルの自動拡張機能もなくなる
名前付き範囲やテーブル名は削除される</t>
  </si>
  <si>
    <t>【テーブルデザイン】→【範囲に変換】。書式は保持されるがテーブル機能は失われる。</t>
  </si>
  <si>
    <t>1. テーブルの最終行の下のセルをクリック
2. データを入力するとテーブルが自動拡張されて新しい行が追加される
（またはTabキーで最終セルから次の行へ移動）
3. テーブルの右端の隣の列のヘッダーセルをクリック
4. 「備考」と入力してEnter
5. テーブルが自動拡張されて「備考」列が追加される</t>
  </si>
  <si>
    <t>テーブルは下方向と右方向に自動拡張される
Tabキーで最終セルから次の行の先頭セルへ移動できる
右クリック→【挿入】→【テーブルの行（上/下）】でも行挿入可能
列の追加はヘッダー行に入力するだけで自動追加</t>
  </si>
  <si>
    <t>テーブルはデータ入力で自動拡張。行はTab/Enter、列はヘッダーに入力で追加。</t>
  </si>
  <si>
    <t>Tab（次のセル/新しい行へ移動）</t>
  </si>
  <si>
    <t>1. テーブル内の任意のセルをクリック
2. 【テーブルデザイン】タブをクリック
3. 【テーブルスタイルのオプション】グループで操作
4. 「縞模様（行）」のチェックを外す
5. 「最初の列」にチェックを入れる
6. 設定が即座に反映される</t>
  </si>
  <si>
    <t>テーブルスタイルのオプション：
見出し行、集計行、縞模様（行）、縞模様（列）、最初の列、最後の列、フィルターボタン
チェックのON/OFFで即座に表示が変わる
スタイルとオプションの組み合わせで多様な見た目を実現</t>
  </si>
  <si>
    <t>【テーブルデザイン】タブの【テーブルスタイルのオプション】でチェックを操作。</t>
  </si>
  <si>
    <t>1. テーブル内の任意のセルをクリック
2. 【テーブルデザイン】タブをクリック
3. 【テーブルスタイルのオプション】グループで「集計行」にチェック
4. テーブルの最終行に集計行が追加される
5. 「売上金額」列の集計行セルをクリック
6. ドロップダウン（▼）から【合計】を選択
7. SUBTOTAL関数で合計が表示される</t>
  </si>
  <si>
    <t>集計行ではSUBTOTAL関数が使用される
合計以外にも平均、個数、最大、最小などが選択可能
フィルター適用時は表示されている行のみが集計対象
複数の列で異なる集計方法を設定できる</t>
  </si>
  <si>
    <t>【テーブルデザイン】→「集計行」チェック→列のドロップダウンから集計方法を選択。</t>
  </si>
  <si>
    <t>Ctrl+Shift+T（集計行のON/OFF）</t>
  </si>
  <si>
    <t>1. 「地域」列のフィルターボタン（▼）をクリック
2. フィルターメニューが表示される
3. 【すべて選択】のチェックを外す（全項目のチェックが外れる）
4. 「関東」のみにチェックを入れる
5. 【OK】をクリック
6. 「関東」のレコードのみが表示される</t>
  </si>
  <si>
    <t>フィルターは表示/非表示の切り替えでデータは削除されない
フィルターボタンのアイコンが漏斗マークに変わる
複数の列でフィルターを組み合わせ可能
テキストフィルター、数値フィルター、日付フィルターなどの詳細条件も設定可能</t>
  </si>
  <si>
    <t>フィルターボタン▼→すべて外す→必要な項目だけチェック→OK。</t>
  </si>
  <si>
    <t>Ctrl+Shift+L（フィルターの切り替え）</t>
  </si>
  <si>
    <t>1. テーブル内の任意のセルをクリック
2. 【データ】タブ→【並べ替え】をクリック
3. 【並べ替え】ダイアログが表示される
4. 「最優先されるキー」で「地域」を選択、順序を「昇順」に設定
5. 【レベルの追加】をクリック
6. 「次に優先されるキー」で「売上金額」を選択、順序を「降順」に設定
7. 【OK】をクリック</t>
  </si>
  <si>
    <t>複数レベルの並べ替えは上から順に優先される
最大64レベルまで設定可能
テーブル内では列名がドロップダウンに表示される
「セルの色」「フォントの色」「セルのアイコン」でも並べ替え可能</t>
  </si>
  <si>
    <t>【データ】→【並べ替え】→レベルを追加して複数条件で並べ替え。優先順位は上から。</t>
  </si>
  <si>
    <t>Alt+A+S+S（並べ替えダイアログ）</t>
  </si>
  <si>
    <t>1. セルC2を選択
2. 「=B2*$E$1」と入力してEnter
3. セルC2を選択し、フィルハンドルをC10までドラッグ（またはCtrl+D）
4. C3の数式が「=B3*$E$1」になっていることを確認
5. B2は相対参照なのでB3、B4...と変化
6. $E$1は絶対参照なので固定されたまま</t>
  </si>
  <si>
    <t>相対参照（B2）：コピーすると行・列が自動調整
絶対参照（$E$1）：コピーしても固定
複合参照（$E1やE$1）：行または列の一方のみ固定
F4キーで参照の切り替えが可能（B2→$B$2→B$2→$B2→B2）</t>
  </si>
  <si>
    <t>$記号で行・列を固定。F4キーで参照タイプを切り替え。相対・絶対・複合の3種類を理解する。</t>
  </si>
  <si>
    <t>F4（参照の切り替え）</t>
  </si>
  <si>
    <t>1. テーブル「商品表」の「金額」列の最初のデータセルを選択
2. 「=[@単価]*[@数量]」と入力してEnter
3. テーブル内の全行に数式が自動的にコピーされる
4. 各行の単価×数量の結果が金額列に表示される</t>
  </si>
  <si>
    <t>@は「同じ行の」という意味（現在の行を指定）
テーブル内で列名を直接参照できる
数式がテーブル全体に自動コピーされる（計算列機能）
構造化参照は可読性が高くメンテナンスしやすい</t>
  </si>
  <si>
    <t>[@列名]で同じ行の値を参照。テーブル内で入力すると全行に自動コピーされる。</t>
  </si>
  <si>
    <t>1. セルB22を選択→「=SUM(B2:B20)」と入力→Enter
2. セルB23を選択→「=AVERAGE(B2:B20)」と入力→Enter
3. セルB24を選択→「=MAX(B2:B20)」と入力→Enter
4. セルB25を選択→「=MIN(B2:B20)」と入力→Enter</t>
  </si>
  <si>
    <t>SUM：合計値を求める
AVERAGE：平均値を求める
MAX：最大値を求める
MIN：最小値を求める
これらはExcelの最も基本的な集計関数
オートSUM（Alt+=）でSUM関数を素早く入力できる</t>
  </si>
  <si>
    <t>SUM（合計）、AVERAGE（平均）、MAX（最大）、MIN（最小）は基本4関数。</t>
  </si>
  <si>
    <t>Alt+=（オートSUM）</t>
  </si>
  <si>
    <t>1. セルE2を選択→「=COUNT(A2:A20)」と入力→Enter
2. セルE3を選択→「=COUNTA(A2:A20)」と入力→Enter
3. セルE4を選択→「=COUNTBLANK(A2:A20)」と入力→Enter</t>
  </si>
  <si>
    <t>COUNT：数値が入っているセルの個数
COUNTA：空白以外のセルの個数（文字列も含む）
COUNTBLANK：空白セルの個数
COUNTIF/COUNTIFSは条件付きカウント
数える対象の違いを正確に理解することが重要</t>
  </si>
  <si>
    <t>COUNT（数値のみ）、COUNTA（空白以外すべて）、COUNTBLANK（空白）の違いを理解する。</t>
  </si>
  <si>
    <t>1. セルD2を選択
2. 「=IF(B2&gt;=80,"合格","不合格")」と入力
3. Enterキーを押す
4. B2の値に応じて「合格」または「不合格」が表示される</t>
  </si>
  <si>
    <t>IF(条件, 真の場合, 偽の場合)の構文
文字列は必ずダブルクォーテーション(")で囲む
IF関数のネスト（入れ子）は最大64レベルまで
IFS関数（365）を使うと複数条件をスッキリ書ける
比較演算子：=, &lt;&gt;, &lt;, &gt;, &lt;=, &gt;=</t>
  </si>
  <si>
    <t>IF(条件,真の場合,偽の場合)。文字列は""で囲む。ネストやIFS関数も覚えておく。</t>
  </si>
  <si>
    <t>1. セルG1を選択
2. 「=SORT(A1:B10,2,-1)」と入力
3. Enterキーを押す
4. G1を起点にB列の降順で並べ替えた結果がスピルで展開される</t>
  </si>
  <si>
    <t>SORT(配列, 並べ替えインデックス, 順序, 並べ替え方向)の構文
第2引数：並べ替え列番号（2=B列）
第3引数：1=昇順（既定）、-1=降順
第4引数：TRUE=行方向（既定はFALSE=列方向）
スピル機能で結果が自動展開される365の新関数</t>
  </si>
  <si>
    <t>=SORT(範囲,列番号,-1)で降順並べ替え。スピルで結果が自動展開される365新関数。</t>
  </si>
  <si>
    <t>1. セルD1を選択
2. 「=UNIQUE(A1:A20)」と入力
3. Enterキーを押す
4. D1を起点に重複を除いた一意の値がスピルで展開される</t>
  </si>
  <si>
    <t>UNIQUE(配列, 比較方向, 回数指定)の構文
第2引数：TRUE=列で比較（既定はFALSE=行で比較）
第3引数：TRUE=1回だけ出現する値のみ（既定はFALSE=重複除去）
スピル機能で結果が自動展開される
FILTER関数やSORT関数と組み合わせて使うと強力</t>
  </si>
  <si>
    <t>=UNIQUE(範囲)で重複除去。FILTER、SORTと組み合わせると強力な365新関数。</t>
  </si>
  <si>
    <t>1. セルB1を選択→「=LEFT(A1,3)」と入力→Enter（結果：ABC）
2. セルC1を選択→「=RIGHT(A1,2)」と入力→Enter（結果：XY）
3. セルD1を選択→「=MID(A1,5,5)」と入力→Enter（結果：12345）</t>
  </si>
  <si>
    <t>LEFT(文字列, 文字数)：左端から指定文字数を抽出
RIGHT(文字列, 文字数)：右端から指定文字数を抽出
MID(文字列, 開始位置, 文字数)：指定位置から指定文字数を抽出
開始位置は1から数える（0ではない）
FIND/SEARCH関数と組み合わせると動的な抽出も可能</t>
  </si>
  <si>
    <t>LEFT（左から）、RIGHT（右から）、MID（途中から）。MIDの開始位置は1始まり。</t>
  </si>
  <si>
    <t>1. セルB1を選択→「=UPPER(A1)」と入力→Enter（結果：HELLO WORLD）
2. セルC1を選択→「=LOWER(A1)」と入力→Enter（結果：hello world）
3. セルD1を選択→「=LEN(A1)」と入力→Enter（結果：11）</t>
  </si>
  <si>
    <t>UPPER：全て大文字に変換
LOWER：全て小文字に変換
PROPER：各単語の先頭を大文字に変換
LEN：文字列の文字数を返す（スペースも1文字としてカウント）
LENB関数はバイト数を返す（日本語は2バイト）</t>
  </si>
  <si>
    <t>UPPER（大文字）、LOWER（小文字）、LEN（文字数）。PROPERも覚えておく。</t>
  </si>
  <si>
    <t>1. セルC1を選択→「=CONCAT(A1,B1)」と入力→Enter
2. セルD1を選択→「=TEXTJOIN(" ",TRUE,A1,B1)」と入力→Enter
3. C1は姓名が直接結合され、D1はスペース区切りで結合される</t>
  </si>
  <si>
    <t>CONCAT：引数を単純に結合（区切り文字なし）
TEXTJOIN(区切り文字, 空白無視, 範囲)：区切り文字付きで結合
TEXTJOINの第2引数TRUEで空白セルを無視
CONCATENATE関数は旧バージョン向け（CONCATが後継）
&amp;演算子でも結合可能（例：A1&amp;" "&amp;B1）</t>
  </si>
  <si>
    <t>CONCAT（単純結合）、TEXTJOIN（区切り文字付き結合）。&amp;演算子でも結合可能。</t>
  </si>
  <si>
    <t>1. セル範囲A1:D5を選択
2. 【挿入】タブをクリック
3. 【グラフ】グループの【縦棒/横棒グラフの挿入】をクリック
4. 「2-D縦棒」セクションから【集合縦棒】を選択
5. グラフが作成される
6. グラフの枠をドラッグしてH1:N15の範囲に配置・サイズ調整</t>
  </si>
  <si>
    <t>【おすすめグラフ】でデータに適したグラフが提案される
Alt+F1でデフォルトグラフを即座に作成
F11でグラフシートにグラフを作成
グラフの種類は後から変更可能（【グラフデザイン】→【グラフの種類の変更】）</t>
  </si>
  <si>
    <t>データ選択→【挿入】→【縦棒】→【集合縦棒】。Alt+F1でデフォルトグラフを即座作成。</t>
  </si>
  <si>
    <t>Alt+F1（デフォルトグラフ作成）、F11（グラフシート作成）</t>
  </si>
  <si>
    <t>1. 地域別売上データの範囲を選択
2. 【挿入】タブ→【円グラフまたはドーナツグラフの挿入】をクリック
3. 「2-D円」から【円】を選択
4. グラフが作成される
5. グラフをクリック→右上の【+】（グラフ要素）ボタンをクリック
6. 【データラベル】にチェック→▶をクリック
7. 【その他のオプション】を選択
8. 【ラベルの内容】で「パーセンテージ」にチェック</t>
  </si>
  <si>
    <t>円グラフは全体に対する割合を表示するのに最適
データラベルの表示内容：値、パーセンテージ、分類名、引き出し線
円グラフは1つのデータ系列のみ表示可能
【グラフ要素】ボタン（+）でラベルや凡例を簡単に追加/削除</t>
  </si>
  <si>
    <t>円グラフ作成後、【グラフ要素】（+ボタン）→【データラベル】でパーセンテージ表示。</t>
  </si>
  <si>
    <t>1. 移動したい折れ線グラフを選択（クリック）
2. 【グラフデザイン】タブをクリック
3. 【場所】グループの【グラフの移動】をクリック
4. 【グラフの移動】ダイアログが表示される
5. 「新しいシート」ラジオボタンを選択
6. シート名に「売上推移グラフ」と入力
7. 【OK】をクリック
8. グラフが専用のグラフシートに移動される</t>
  </si>
  <si>
    <t>グラフシートはグラフ専用のシート（セルはない）
「オブジェクト」にすると指定したシートに埋め込みグラフとして配置
グラフシートは印刷時にグラフが1ページ全体に配置される
後から「オブジェクト」に戻すこともできる</t>
  </si>
  <si>
    <t>【グラフデザイン】→【グラフの移動】→「新しいシート」でグラフシートに移動。</t>
  </si>
  <si>
    <t>1. グラフを選択（クリック）
2. 右クリック→【データの選択】をクリック
3. 【データソースの選択】ダイアログが表示される
4. 「凡例項目（系列）」の【追加】をクリック
5. 系列名にE1セルを指定
6. 系列値にE2:E10などデータ範囲を指定
7. 【OK】→【OK】をクリック
（別の方法）グラフの青い範囲枠をドラッグしてE列まで拡張</t>
  </si>
  <si>
    <t>グラフの青い枠をドラッグして範囲を拡張する方法が最も簡単
【データの選択】で系列の追加・削除・編集が可能
データ範囲を直接編集することもできる
系列の順序も【データソースの選択】で変更可能</t>
  </si>
  <si>
    <t>グラフの範囲枠をドラッグ拡張が最速。【データの選択】で詳細な系列管理も可能。</t>
  </si>
  <si>
    <t>特になし（グラフ操作）</t>
  </si>
  <si>
    <t>1. グラフを選択（クリック）
2. 【グラフデザイン】タブをクリック
3. 【データ】グループの【行/列の切り替え】をクリック
4. 横軸の項目と凡例（系列）が入れ替わる
5. 横軸に科目、凡例に名前が表示されることを確認</t>
  </si>
  <si>
    <t>データの行と列を入れ替えるとグラフの見え方が大きく変わる
元データの行が系列か項目かを切り替える操作
【データの選択】ダイアログの【行/列の切り替え】でも同じ操作
どちらの表示が見やすいかデータの内容に応じて判断する</t>
  </si>
  <si>
    <t>【グラフデザイン】→【行/列の切り替え】で横軸と凡例を即座に入れ替え。</t>
  </si>
  <si>
    <t>1. グラフを選択
2. グラフタイトル部分をクリック（テキスト編集モードになる）
3. タイトルを「月別売上推移」に変更
4. グラフ外をクリックして確定
5. 【グラフデザイン】タブをクリック
6. 【グラフのレイアウト】グループの【クイックレイアウト】をクリック
7. 一覧から「レイアウト3」を選択</t>
  </si>
  <si>
    <t>グラフタイトルはダブルクリックで直接編集可能
数式バーにセル参照を入力してタイトルをセルにリンクすることも可能
クイックレイアウトはタイトル、凡例、データラベルなどの配置を一括変更
個別の要素は【グラフ要素を追加】から細かく設定可能</t>
  </si>
  <si>
    <t>タイトルはクリックで直接編集。【クイックレイアウト】で要素の配置を一括変更。</t>
  </si>
  <si>
    <t>1. グラフを選択
2. 【グラフデザイン】タブをクリック
3. 【グラフスタイル】グループから「スタイル4」を選択
4. グラフ右上の【+】（グラフ要素）ボタンをクリック
5. 【軸ラベル】にチェックを入れる
6. 【凡例】にチェックが入っていることを確認（なければチェック）
7. 軸ラベルのテキストを適宜編集する</t>
  </si>
  <si>
    <t>グラフスタイルはグラフ全体の色合い・デザインを一括変更
グラフ右側の筆アイコンからもスタイルを変更可能
【グラフ要素を追加】→【軸ラベル】で主軸/第2軸の設定可能
凡例の位置（上下左右）も変更できる
個別の要素をダブルクリックで詳細な書式設定パネルが開く</t>
  </si>
  <si>
    <t>【グラフスタイル】でデザイン一括変更。【+】ボタンで要素の追加/削除が素早くできる。</t>
  </si>
  <si>
    <t>問題の概要</t>
  </si>
  <si>
    <t>難易度</t>
  </si>
  <si>
    <t>P01</t>
  </si>
  <si>
    <t>行・列の固定</t>
  </si>
  <si>
    <t>表の見出し行と左端列を固定し、スクロール時も表示されるようにする</t>
  </si>
  <si>
    <t>★</t>
  </si>
  <si>
    <t>P02</t>
  </si>
  <si>
    <t>印刷範囲・タイトル行</t>
  </si>
  <si>
    <t>指定範囲を印刷範囲に設定し、印刷タイトル行を設定する</t>
  </si>
  <si>
    <t>P03</t>
  </si>
  <si>
    <t>数値の書式設定</t>
  </si>
  <si>
    <t>売上データに桁区切り・通貨・パーセント等の書式を適用する</t>
  </si>
  <si>
    <t>P04</t>
  </si>
  <si>
    <t>オートフィルと連続データ</t>
  </si>
  <si>
    <t>日付・曜日・連番をオートフィルで入力する</t>
  </si>
  <si>
    <t>P05</t>
  </si>
  <si>
    <t>条件付き書式</t>
  </si>
  <si>
    <t>成績データに条件付き書式（セル強調・データバー）を設定する</t>
  </si>
  <si>
    <t>★★</t>
  </si>
  <si>
    <t>P06</t>
  </si>
  <si>
    <t>名前付き範囲</t>
  </si>
  <si>
    <t>名前付き範囲を定義し、数式で参照する</t>
  </si>
  <si>
    <t>P07</t>
  </si>
  <si>
    <t>値のみ貼り付け・行列入替の操作を行う</t>
  </si>
  <si>
    <t>P08</t>
  </si>
  <si>
    <t>テーブル作成と操作</t>
  </si>
  <si>
    <t>データをテーブルに変換し、スタイル・集計行を設定する</t>
  </si>
  <si>
    <t>P09</t>
  </si>
  <si>
    <t>フィルターと並べ替え</t>
  </si>
  <si>
    <t>テーブルをフィルター・複数キーで並べ替える</t>
  </si>
  <si>
    <t>P10</t>
  </si>
  <si>
    <t>テーブルの構造化参照を使って計算列を追加する</t>
  </si>
  <si>
    <t>P11</t>
  </si>
  <si>
    <t>基本集計関数</t>
  </si>
  <si>
    <t>SUM/AVERAGE/MAX/MIN/COUNTを使って集計する</t>
  </si>
  <si>
    <t>P12</t>
  </si>
  <si>
    <t>IF関数とネスト</t>
  </si>
  <si>
    <t>IF関数で条件判定し、ネストして複数条件に対応する</t>
  </si>
  <si>
    <t>P13</t>
  </si>
  <si>
    <t>COUNTIF/SUMIF系</t>
  </si>
  <si>
    <t>条件付きカウント・合計を求める</t>
  </si>
  <si>
    <t>P14</t>
  </si>
  <si>
    <t>VLOOKUP/XLOOKUP</t>
  </si>
  <si>
    <t>別表からデータを検索・取得する</t>
  </si>
  <si>
    <t>★★★</t>
  </si>
  <si>
    <t>P15</t>
  </si>
  <si>
    <t>文字列関数</t>
  </si>
  <si>
    <t>LEFT/RIGHT/MID/CONCAT/TEXTJOINで文字列を操作する</t>
  </si>
  <si>
    <t>P16</t>
  </si>
  <si>
    <t>絶対参照と複合参照</t>
  </si>
  <si>
    <t>絶対参照・複合参照を使った数式を作成しコピーする</t>
  </si>
  <si>
    <t>P17</t>
  </si>
  <si>
    <t>SORT/UNIQUE/SEQUENCE</t>
  </si>
  <si>
    <t>動的配列関数を使ってデータを整理する</t>
  </si>
  <si>
    <t>P18</t>
  </si>
  <si>
    <t>集合縦棒グラフの作成</t>
  </si>
  <si>
    <t>売上データから集合縦棒グラフを作成し書式設定する</t>
  </si>
  <si>
    <t>P19</t>
  </si>
  <si>
    <t>円グラフとデータラベル</t>
  </si>
  <si>
    <t>構成比を円グラフで表示しデータラベルを設定する</t>
  </si>
  <si>
    <t>P20</t>
  </si>
  <si>
    <t>折れ線グラフと複合グラフ</t>
  </si>
  <si>
    <t>月次推移を折れ線グラフで作成し要素を編集する</t>
  </si>
  <si>
    <t>【実技問題 P01】行・列の固定</t>
  </si>
  <si>
    <t>📋 指示: セルB5が選択された状態で「ウィンドウ枠の固定」を実行し、4行目までとA列を固定してください。スクロールしても見出しが表示される状態にしてください。</t>
  </si>
  <si>
    <t>社員番号</t>
  </si>
  <si>
    <t>氏名</t>
  </si>
  <si>
    <t>部署</t>
  </si>
  <si>
    <t>4月売上</t>
  </si>
  <si>
    <t>5月売上</t>
  </si>
  <si>
    <t>6月売上</t>
  </si>
  <si>
    <t>7月売上</t>
  </si>
  <si>
    <t>合計</t>
  </si>
  <si>
    <t>E001</t>
  </si>
  <si>
    <t>田中太郎</t>
  </si>
  <si>
    <t>営業部</t>
  </si>
  <si>
    <t>E002</t>
  </si>
  <si>
    <t>佐藤花子</t>
  </si>
  <si>
    <t>E003</t>
  </si>
  <si>
    <t>鈴木一郎</t>
  </si>
  <si>
    <t>企画部</t>
  </si>
  <si>
    <t>E004</t>
  </si>
  <si>
    <t>高橋美咲</t>
  </si>
  <si>
    <t>E005</t>
  </si>
  <si>
    <t>伊藤健太</t>
  </si>
  <si>
    <t>総務部</t>
  </si>
  <si>
    <t>E006</t>
  </si>
  <si>
    <t>渡辺由美</t>
  </si>
  <si>
    <t>E007</t>
  </si>
  <si>
    <t>山本翔太</t>
  </si>
  <si>
    <t>E008</t>
  </si>
  <si>
    <t>中村あき</t>
  </si>
  <si>
    <t>E009</t>
  </si>
  <si>
    <t>小林雅之</t>
  </si>
  <si>
    <t>E010</t>
  </si>
  <si>
    <t>加藤直子</t>
  </si>
  <si>
    <t>E011</t>
  </si>
  <si>
    <t>吉田真一</t>
  </si>
  <si>
    <t>E012</t>
  </si>
  <si>
    <t>山田恵美</t>
  </si>
  <si>
    <t>E013</t>
  </si>
  <si>
    <t>松本大輔</t>
  </si>
  <si>
    <t>E014</t>
  </si>
  <si>
    <t>井上麻衣</t>
  </si>
  <si>
    <t>E015</t>
  </si>
  <si>
    <t>木村浩司</t>
  </si>
  <si>
    <t>セルB5を選択し「ウィンドウ枠の固定」を実行して、4行目までとA列を固定する</t>
  </si>
  <si>
    <t>① セルB5を選択する
② 【表示】タブをクリック
③ 【ウィンドウ】グループの【ウィンドウ枠の固定】をクリック
④ ドロップダウンから【ウィンドウ枠の固定】を選択
⑤ 4行目までとA列が固定される</t>
  </si>
  <si>
    <t>ポイント</t>
  </si>
  <si>
    <t>選択したセルの「上」と「左」が固定される。B5を選択すると、行1〜4（上）とA列（左）が固定。</t>
  </si>
  <si>
    <t>確認方法</t>
  </si>
  <si>
    <t>右にスクロールしてもA列（社員番号）が表示され、下にスクロールしても4行目（見出し行）が表示されれば正解</t>
  </si>
  <si>
    <t>【実技問題 P02】印刷範囲とタイトル行の設定</t>
  </si>
  <si>
    <t>📋 指示: ① セル範囲A4:F24を印刷範囲として設定してください。② 2ページ目以降にも4行目の見出しが印刷されるよう、印刷タイトル行を設定してください。</t>
  </si>
  <si>
    <t>商品コード</t>
  </si>
  <si>
    <t>商品名</t>
  </si>
  <si>
    <t>カテゴリ</t>
  </si>
  <si>
    <t>単価</t>
  </si>
  <si>
    <t>在庫数</t>
  </si>
  <si>
    <t>在庫金額</t>
  </si>
  <si>
    <t>P001</t>
  </si>
  <si>
    <t>ボールペン（黒）</t>
  </si>
  <si>
    <t>文具</t>
  </si>
  <si>
    <t>P002</t>
  </si>
  <si>
    <t>ノートA4</t>
  </si>
  <si>
    <t>P003</t>
  </si>
  <si>
    <t>USBメモリ16GB</t>
  </si>
  <si>
    <t>電子機器</t>
  </si>
  <si>
    <t>P004</t>
  </si>
  <si>
    <t>クリアファイル</t>
  </si>
  <si>
    <t>P005</t>
  </si>
  <si>
    <t>マウスパッド</t>
  </si>
  <si>
    <t>P006</t>
  </si>
  <si>
    <t>付箋（大）</t>
  </si>
  <si>
    <t>P007</t>
  </si>
  <si>
    <t>ホッチキス</t>
  </si>
  <si>
    <t>P008</t>
  </si>
  <si>
    <t>電卓</t>
  </si>
  <si>
    <t>P009</t>
  </si>
  <si>
    <t>修正テープ</t>
  </si>
  <si>
    <t>P010</t>
  </si>
  <si>
    <t>LANケーブル3m</t>
  </si>
  <si>
    <t>P011</t>
  </si>
  <si>
    <t>A4コピー用紙</t>
  </si>
  <si>
    <t>用紙</t>
  </si>
  <si>
    <t>P012</t>
  </si>
  <si>
    <t>インクカートリッジ</t>
  </si>
  <si>
    <t>消耗品</t>
  </si>
  <si>
    <t>P013</t>
  </si>
  <si>
    <t>テープのり</t>
  </si>
  <si>
    <t>P014</t>
  </si>
  <si>
    <t>HDMIケーブル</t>
  </si>
  <si>
    <t>P015</t>
  </si>
  <si>
    <t>マーカーセット</t>
  </si>
  <si>
    <t>P016</t>
  </si>
  <si>
    <t>封筒（角2）</t>
  </si>
  <si>
    <t>P017</t>
  </si>
  <si>
    <t>SDカード32GB</t>
  </si>
  <si>
    <t>P018</t>
  </si>
  <si>
    <t>消しゴム</t>
  </si>
  <si>
    <t>P019</t>
  </si>
  <si>
    <t>名刺用紙</t>
  </si>
  <si>
    <t>P020</t>
  </si>
  <si>
    <t>ファイルボックス</t>
  </si>
  <si>
    <t>印刷範囲を設定する / 印刷タイトル</t>
  </si>
  <si>
    <t>A4:F24を印刷範囲に設定し、4行目を印刷タイトル行に設定する</t>
  </si>
  <si>
    <t>【印刷範囲の設定】
① A4:F24を選択
② 【ページレイアウト】タブ→【印刷範囲】→【印刷範囲の設定】
【タイトル行の設定】
③ 【ページレイアウト】タブ→【印刷タイトル】
④ 「タイトル行」に $4:$4 を入力
⑤ 【OK】をクリック</t>
  </si>
  <si>
    <t>印刷範囲はPrint_Areaという名前付き範囲で管理される。タイトル行は$行:$行の形式で指定する。</t>
  </si>
  <si>
    <t>Ctrl+Pで印刷プレビューを開き、2ページ目に見出し行が表示されていれば正解</t>
  </si>
  <si>
    <t>【実技問題 P03】数値の書式設定</t>
  </si>
  <si>
    <t>📋 指示:
① C5:C12の売上金額に「桁区切りスタイル（小数点以下0桁）」を適用してください
② D5:D12の前年比に「パーセントスタイル（小数点以下1桁）」を適用してください
③ E5:E12の利益に「通貨表示形式（¥マーク付き）」を適用してください
④ F5:F12の日付に「yyyy年m月d日」形式を適用してください</t>
  </si>
  <si>
    <t>支店名</t>
  </si>
  <si>
    <t>地域</t>
  </si>
  <si>
    <t>売上金額</t>
  </si>
  <si>
    <t>前年比</t>
  </si>
  <si>
    <t>利益</t>
  </si>
  <si>
    <t>報告日</t>
  </si>
  <si>
    <t>東京本店</t>
  </si>
  <si>
    <t>関東</t>
  </si>
  <si>
    <t>大阪支店</t>
  </si>
  <si>
    <t>関西</t>
  </si>
  <si>
    <t>名古屋支店</t>
  </si>
  <si>
    <t>中部</t>
  </si>
  <si>
    <t>福岡支店</t>
  </si>
  <si>
    <t>九州</t>
  </si>
  <si>
    <t>札幌支店</t>
  </si>
  <si>
    <t>北海道</t>
  </si>
  <si>
    <t>仙台支店</t>
  </si>
  <si>
    <t>東北</t>
  </si>
  <si>
    <t>広島支店</t>
  </si>
  <si>
    <t>中国</t>
  </si>
  <si>
    <t>横浜支店</t>
  </si>
  <si>
    <t>売上金額に桁区切り、前年比にパーセント、利益に通貨、日付にyyyy年m月d日を適用</t>
  </si>
  <si>
    <t>① C5:C12を選択→【ホーム】→【桁区切りスタイル】→小数点以下0桁に調整
② D5:D12を選択→【ホーム】→【パーセントスタイル】→【小数点以下の桁数を増やす】で1桁に
③ E5:E12を選択→【ホーム】→【通貨表示形式】（¥マーク）
④ F5:F12を選択→Ctrl+1→【ユーザー定義】→ yyyy年m月d日 と入力→OK</t>
  </si>
  <si>
    <t>桁区切り=#,##0、パーセント=0.0%、通貨=¥#,##0、日付=yyyy年m月d日。Ctrl+1でセルの書式設定ダイアログを直接開ける。</t>
  </si>
  <si>
    <t>正解時の表示例</t>
  </si>
  <si>
    <t>売上: 15,800,000 / 前年比: 112.0% / 利益: ¥3,200,000 / 日付: 2025年1月15日</t>
  </si>
  <si>
    <t>【実技問題 P04】オートフィルと連続データ</t>
  </si>
  <si>
    <t>📋 指示:
① セルA5に「月曜日」と入力し、オートフィルでA6:A11に火曜日〜日曜日を入力してください
② セルC5に「2025/1/1」と入力し、オートフィルでC6:C16に1月末までの日付を入力してください
③ セルE5に「1」、E6に「3」と入力し、オートフィルでE7:E14に奇数の連続データを入力してください
④ セルG5に「第1四半期」と入力し、オートフィルでG6:G8に第2〜第4四半期を入力してください</t>
  </si>
  <si>
    <t>① 曜日</t>
  </si>
  <si>
    <t>② 日付</t>
  </si>
  <si>
    <t>③ 奇数連番</t>
  </si>
  <si>
    <t>④ 四半期</t>
  </si>
  <si>
    <t>曜日・日付・奇数連番・四半期をオートフィルで入力する</t>
  </si>
  <si>
    <t>① A5に「月曜日」→フィルハンドルをA11までドラッグ
② C5に「2025/1/1」→フィルハンドルをC16までドラッグ（日付は1日ずつ増加）
③ E5に「1」、E6に「3」→E5:E6を選択→フィルハンドルをE14までドラッグ（2ずつ増加）
④ G5に「第1四半期」→フィルハンドルをG8までドラッグ</t>
  </si>
  <si>
    <t>・曜日や月名はExcelが自動認識するパターン
・連番の増分を指定するには、最初の2セルにパターンを入力してからドラッグ
・Ctrlを押しながらドラッグするとコピーになる（連続データにならない）</t>
  </si>
  <si>
    <t>正解の値</t>
  </si>
  <si>
    <t>① 月〜日曜日  ② 2025/1/1〜2025/1/12  ③ 1,3,5,7,9,11,13,15,17,19  ④ 第1〜第4四半期</t>
  </si>
  <si>
    <t>【実技問題 P05】条件付き書式の設定</t>
  </si>
  <si>
    <t>📋 指示:
① C5:C14の「国語」の点数で、80点以上のセルに「濃い緑の文字、緑の背景」の条件付き書式を設定してください
② D5:D14の「数学」の点数で、60点未満のセルに「濃い赤の文字、明るい赤の背景」の条件付き書式を設定してください
③ G5:G14の「合計」にデータバー（青のグラデーション）を表示してください</t>
  </si>
  <si>
    <t>国語</t>
  </si>
  <si>
    <t>数学</t>
  </si>
  <si>
    <t>英語</t>
  </si>
  <si>
    <t>理科</t>
  </si>
  <si>
    <t>青山一郎</t>
  </si>
  <si>
    <t>石田花子</t>
  </si>
  <si>
    <t>上田健太</t>
  </si>
  <si>
    <t>遠藤美咲</t>
  </si>
  <si>
    <t>岡田翔太</t>
  </si>
  <si>
    <t>柿本由美</t>
  </si>
  <si>
    <t>木下大輔</t>
  </si>
  <si>
    <t>黒田あき</t>
  </si>
  <si>
    <t>小松雅之</t>
  </si>
  <si>
    <t>佐々木直子</t>
  </si>
  <si>
    <t>国語80点以上に緑、数学60点未満に赤、合計にデータバーを設定</t>
  </si>
  <si>
    <t>① C5:C14を選択→【ホーム】→【条件付き書式】→【セルの強調表示ルール】→【指定の値より大きい】→79→「濃い緑の文字、緑の背景」
② D5:D14を選択→【条件付き書式】→【セルの強調表示ルール】→【指定の値より小さい】→60→「濃い赤の文字、明るい赤の背景」
③ G5:G14を選択→【条件付き書式】→【データバー】→青のグラデーション</t>
  </si>
  <si>
    <t>「80以上」は「79より大きい」で設定。「60未満」は「60より小さい」で設定。データバーは値の大小を視覚的に比較できる。</t>
  </si>
  <si>
    <t>国語で85,92,88,95,82の5セルが緑、数学で55,45,58,42の4セルが赤、合計にデータバーが表示されていれば正解</t>
  </si>
  <si>
    <t>【実技問題 P06】名前付き範囲の定義と参照</t>
  </si>
  <si>
    <t>📋 指示:
① セル範囲B5:B14に「月間売上」という名前を定義してください
② セルD5に =SUM(月間売上) と入力して合計を求めてください
③ セルD6に =AVERAGE(月間売上) と入力して平均を求めてください
④ セルD7に =MAX(月間売上) と入力して最大値を求めてください</t>
  </si>
  <si>
    <t>月</t>
  </si>
  <si>
    <t>1月</t>
  </si>
  <si>
    <t>2月</t>
  </si>
  <si>
    <t>3月</t>
  </si>
  <si>
    <t>4月</t>
  </si>
  <si>
    <t>5月</t>
  </si>
  <si>
    <t>6月</t>
  </si>
  <si>
    <t>7月</t>
  </si>
  <si>
    <t>8月</t>
  </si>
  <si>
    <t>9月</t>
  </si>
  <si>
    <t>10月</t>
  </si>
  <si>
    <t>集計結果</t>
  </si>
  <si>
    <t>平均</t>
  </si>
  <si>
    <t>最大</t>
  </si>
  <si>
    <t>B5:B14に「月間売上」と名前を付け、SUM/AVERAGE/MAXで参照する</t>
  </si>
  <si>
    <t>① B5:B14を選択→名前ボックスに「月間売上」と入力→Enter
② D5に =SUM(月間売上) と入力→Enter
③ D6に =AVERAGE(月間売上) と入力→Enter
④ D7に =MAX(月間売上) と入力→Enter</t>
  </si>
  <si>
    <t>名前ボックスは数式バーの左端にある。名前付き範囲は数式内で直接参照可能。【数式】タブ→【名前の定義】からも定義できる。</t>
  </si>
  <si>
    <t>合計: 13,790,000 / 平均: 1,379,000 / 最大: 1,630,000</t>
  </si>
  <si>
    <t>【実技問題 P07】形式を選択して貼り付け</t>
  </si>
  <si>
    <t>📋 指示:
① セル範囲A5:D8をコピーし、セルF5に「値のみ」で貼り付けてください（数式ではなく計算結果の値を貼り付ける）
② セル範囲A11:D13をコピーし、セルA16に「行列を入れ替えて」貼り付けてください</t>
  </si>
  <si>
    <t>商品</t>
  </si>
  <si>
    <t>数量</t>
  </si>
  <si>
    <t>金額</t>
  </si>
  <si>
    <t>ペン</t>
  </si>
  <si>
    <t>ノート</t>
  </si>
  <si>
    <t>定規</t>
  </si>
  <si>
    <t>【行列入替元データ】</t>
  </si>
  <si>
    <t>名前</t>
  </si>
  <si>
    <t>田中</t>
  </si>
  <si>
    <t>佐藤</t>
  </si>
  <si>
    <t>← ①の貼り付け先</t>
  </si>
  <si>
    <t>↓ ②の貼り付け先</t>
  </si>
  <si>
    <t>値のみ貼り付けと行列入替を実行する</t>
  </si>
  <si>
    <t>【値のみ貼り付け】
① A5:D8を選択→Ctrl+C
② F5を選択→【ホーム】→貼り付け▼→【値の貼り付け】
【行列入替】
③ A11:D13を選択→Ctrl+C
④ A16を選択→Ctrl+Alt+V→【行列を入れ替える】にチェック→OK</t>
  </si>
  <si>
    <t>値のみ貼り付け：数式ではなく計算結果の値だけが貼り付けられる。D列の金額セルに数式(=B*C)ではなく数値が入る。
行列入替：行と列が入れ替わり、横→縦、縦→横になる。</t>
  </si>
  <si>
    <t>①F8:I8に数式でなく値(150,280等)が入っていること ②A16:A18に名前,田中,佐藤が縦に並ぶこと</t>
  </si>
  <si>
    <t>【実技問題 P08】テーブルの作成と操作</t>
  </si>
  <si>
    <t>📋 指示:
① セル範囲A4:E19をテーブルに変換してください（先頭行をテーブルの見出しとして使用）
② テーブルのスタイルを「青、テーブルスタイル（中間）2」に変更してください
③ テーブルに集計行を表示し、「売上金額」列の合計と「数量」列の平均を表示してください</t>
  </si>
  <si>
    <t>注文ID</t>
  </si>
  <si>
    <t>顧客名</t>
  </si>
  <si>
    <t>ORD001</t>
  </si>
  <si>
    <t>山田商事</t>
  </si>
  <si>
    <t>ボールペン</t>
  </si>
  <si>
    <t>ORD002</t>
  </si>
  <si>
    <t>鈴木製作所</t>
  </si>
  <si>
    <t>ORD003</t>
  </si>
  <si>
    <t>田中電機</t>
  </si>
  <si>
    <t>USBメモリ</t>
  </si>
  <si>
    <t>ORD004</t>
  </si>
  <si>
    <t>佐藤食品</t>
  </si>
  <si>
    <t>ORD005</t>
  </si>
  <si>
    <t>高橋工業</t>
  </si>
  <si>
    <t>ORD006</t>
  </si>
  <si>
    <t>ORD007</t>
  </si>
  <si>
    <t>伊藤運輸</t>
  </si>
  <si>
    <t>ORD008</t>
  </si>
  <si>
    <t>LANケーブル</t>
  </si>
  <si>
    <t>ORD009</t>
  </si>
  <si>
    <t>ORD010</t>
  </si>
  <si>
    <t>ORD011</t>
  </si>
  <si>
    <t>ORD012</t>
  </si>
  <si>
    <t>ORD013</t>
  </si>
  <si>
    <t>ORD014</t>
  </si>
  <si>
    <t>ORD015</t>
  </si>
  <si>
    <t>テーブルを作成する / 集計行</t>
  </si>
  <si>
    <t>データをテーブルに変換し、スタイルと集計行を設定する</t>
  </si>
  <si>
    <t>① A4:E19を選択→Ctrl+T（または【挿入】→【テーブル】）→「先頭行を見出しに使用」にチェック→OK
② テーブル内をクリック→【テーブルデザイン】→スタイルギャラリーから「青、テーブルスタイル（中間）2」を選択
③ 【テーブルデザイン】→「集計行」にチェック→売上金額列で「合計」、数量列で「平均」を選択</t>
  </si>
  <si>
    <t>Ctrl+Tでテーブル作成。集計行はSUBTOTAL関数を使用。フィルター適用時も表示行のみ集計される。</t>
  </si>
  <si>
    <t>テーブルに変換されスタイルが適用され、集計行に売上金額の合計(207,890)と数量の平均が表示されていれば正解</t>
  </si>
  <si>
    <t>【実技問題 P09】フィルターと並べ替え</t>
  </si>
  <si>
    <t>📋 指示:
① まず、A4:F19のデータをテーブルに変換してください
② フィルターを使って「地域」列が「関東」のレコードのみ表示してください
③ フィルターを解除した後、「地域」の昇順→同一地域内で「売上金額」の降順で並べ替えてください</t>
  </si>
  <si>
    <t>支店コード</t>
  </si>
  <si>
    <t>担当者</t>
  </si>
  <si>
    <t>達成率</t>
  </si>
  <si>
    <t>BR01</t>
  </si>
  <si>
    <t>BR02</t>
  </si>
  <si>
    <t>BR03</t>
  </si>
  <si>
    <t>鈴木</t>
  </si>
  <si>
    <t>BR04</t>
  </si>
  <si>
    <t>高橋</t>
  </si>
  <si>
    <t>BR05</t>
  </si>
  <si>
    <t>伊藤</t>
  </si>
  <si>
    <t>BR06</t>
  </si>
  <si>
    <t>渡辺</t>
  </si>
  <si>
    <t>BR07</t>
  </si>
  <si>
    <t>山本</t>
  </si>
  <si>
    <t>BR08</t>
  </si>
  <si>
    <t>中村</t>
  </si>
  <si>
    <t>BR09</t>
  </si>
  <si>
    <t>さいたま支店</t>
  </si>
  <si>
    <t>小林</t>
  </si>
  <si>
    <t>BR10</t>
  </si>
  <si>
    <t>千葉支店</t>
  </si>
  <si>
    <t>加藤</t>
  </si>
  <si>
    <t>BR11</t>
  </si>
  <si>
    <t>京都支店</t>
  </si>
  <si>
    <t>吉田</t>
  </si>
  <si>
    <t>BR12</t>
  </si>
  <si>
    <t>神戸支店</t>
  </si>
  <si>
    <t>山田</t>
  </si>
  <si>
    <t>BR13</t>
  </si>
  <si>
    <t>新潟支店</t>
  </si>
  <si>
    <t>松本</t>
  </si>
  <si>
    <t>BR14</t>
  </si>
  <si>
    <t>熊本支店</t>
  </si>
  <si>
    <t>井上</t>
  </si>
  <si>
    <t>BR15</t>
  </si>
  <si>
    <t>静岡支店</t>
  </si>
  <si>
    <t>木村</t>
  </si>
  <si>
    <t>テーブルに変換後、フィルターで関東を絞り込み、複数キーで並べ替える</t>
  </si>
  <si>
    <t>① A4:F19を選択→Ctrl+T→テーブル作成
② 「地域」列のフィルタ▼→すべて外す→「関東」のみチェック→OK
③ フィルタ解除後、【データ】→【並べ替え】→第1キー「地域」昇順→レベル追加→第2キー「売上金額」降順→OK</t>
  </si>
  <si>
    <t>フィルターはデータを非表示にするだけで削除しない。複数キーの並べ替えは上から優先される。</t>
  </si>
  <si>
    <t>フィルター時に関東4件のみ表示。並べ替え後、各地域内で売上が大きい順になっていれば正解</t>
  </si>
  <si>
    <t>【実技問題 P10】テーブルの構造化参照</t>
  </si>
  <si>
    <t>📋 指示:
① まず、A4:E14のデータをテーブルに変換し、テーブル名を「商品表」に変更してください
② F4に「金額」という見出しを入力してテーブルを拡張してください
③ F5に構造化参照 =[@単価]*[@数量] を入力して金額を計算してください（テーブル内で自動コピーされます）</t>
  </si>
  <si>
    <t>M001</t>
  </si>
  <si>
    <t>M002</t>
  </si>
  <si>
    <t>M003</t>
  </si>
  <si>
    <t>M004</t>
  </si>
  <si>
    <t>M005</t>
  </si>
  <si>
    <t>M006</t>
  </si>
  <si>
    <t>M007</t>
  </si>
  <si>
    <t>M008</t>
  </si>
  <si>
    <t>M009</t>
  </si>
  <si>
    <t>M010</t>
  </si>
  <si>
    <t>テーブル「商品表」を作成し、構造化参照で金額列を計算する</t>
  </si>
  <si>
    <t>① A4:E14を選択→Ctrl+T→テーブル作成
② テーブル内をクリック→【テーブルデザイン】→テーブル名を「商品表」に変更
③ F4に「金額」と入力→テーブルが自動拡張
④ F5に =[@単価]*[@数量] と入力→Enter→テーブル全行に自動コピー</t>
  </si>
  <si>
    <t>@は「同じ行の」という意味。テーブル内で数式を入力すると全行に自動コピーされる（計算列）。構造化参照は可読性が高い。</t>
  </si>
  <si>
    <t>F5〜F14に各行の単価×数量の結果が表示されていれば正解（例：F5=7500, F7=9800等）</t>
  </si>
  <si>
    <t>【実技問題 P11】基本集計関数</t>
  </si>
  <si>
    <t>📋 指示:
① B17に B5:B16 の合計を求める数式（SUM）を入力してください
② B18に B5:B16 の平均を求める数式（AVERAGE）を入力してください
③ B19に B5:B16 の最大値を求める数式（MAX）を入力してください
④ B20に B5:B16 の最小値を求める数式（MIN）を入力してください
⑤ B21に B5:B16 の数値の個数を求める数式（COUNT）を入力してください</t>
  </si>
  <si>
    <t>11月</t>
  </si>
  <si>
    <t>12月</t>
  </si>
  <si>
    <t>最大値</t>
  </si>
  <si>
    <t>最小値</t>
  </si>
  <si>
    <t>データ数</t>
  </si>
  <si>
    <t>SUM, AVERAGE, MAX, MIN, COUNT</t>
  </si>
  <si>
    <t>月間売上データの合計・平均・最大・最小・個数を求める</t>
  </si>
  <si>
    <t>① B17: =SUM(B5:B16) → 28,910,000
② B18: =AVERAGE(B5:B16) → 2,409,167
③ B19: =MAX(B5:B16) → 3,100,000
④ B20: =MIN(B5:B16) → 1,850,000
⑤ B21: =COUNT(B5:B16) → 12</t>
  </si>
  <si>
    <t>Alt+=でオートSUMを素早く入力可能。AVERAGEは空白セルを無視する。COUNTは数値のみ、COUNTAは空白以外全て数える。</t>
  </si>
  <si>
    <t>合計:28,910,000 / 平均:2,409,167 / 最大:3,100,000 / 最小:1,850,000 / 個数:12</t>
  </si>
  <si>
    <t>【実技問題 P12】IF関数とネスト</t>
  </si>
  <si>
    <t>📋 指示:
① D5にIF関数を入力し、C5が80以上なら「合格」、それ以外なら「不合格」と表示してください。D6:D14にもコピーしてください。
② E5にIF関数をネストして、C5が90以上なら「A」、80以上なら「B」、70以上なら「C」、それ以外は「D」と表示してください。E6:E14にもコピーしてください。</t>
  </si>
  <si>
    <t>点数</t>
  </si>
  <si>
    <t>合否</t>
  </si>
  <si>
    <t>評価</t>
  </si>
  <si>
    <t>IF関数で合否判定、ネストIF（またはIFS）で評価ランク付け</t>
  </si>
  <si>
    <t>① D5: =IF(C5&gt;=80,"合格","不合格") → D6:D14にコピー
② E5: =IF(C5&gt;=90,"A",IF(C5&gt;=80,"B",IF(C5&gt;=70,"C","D"))) → E6:E14にコピー
   （または =IFS(C5&gt;=90,"A",C5&gt;=80,"B",C5&gt;=70,"C",TRUE,"D")）</t>
  </si>
  <si>
    <t>IF(条件,真,偽)の構文。ネストは偽の部分にさらにIFを入れる。IFS関数(365)なら複数条件をフラットに書ける。条件は大きい方から判定するのがコツ。</t>
  </si>
  <si>
    <t>85→合格/B, 92→合格/A, 65→不合格/D, 78→不合格/C, 88→合格/B, 55→不合格/D, 95→合格/A, 70→不合格/C, 82→合格/B, 45→不合格/D</t>
  </si>
  <si>
    <t>【実技問題 P13】COUNTIF/SUMIF関数</t>
  </si>
  <si>
    <t>📋 指示:
① F5に、B列（部署）が「営業部」であるデータの件数をCOUNTIF関数で求めてください
② F6に、B列が「企画部」であるデータの売上金額（D列）の合計をSUMIF関数で求めてください
③ F7に、D列の売上金額が500,000以上のデータの件数をCOUNTIF関数で求めてください
④ F8に、B列が「営業部」かつD列が500,000以上の件数をCOUNTIFS関数で求めてください</t>
  </si>
  <si>
    <t>社員名</t>
  </si>
  <si>
    <t>東京</t>
  </si>
  <si>
    <t>大阪</t>
  </si>
  <si>
    <t>名古屋</t>
  </si>
  <si>
    <t>営業部の人数</t>
  </si>
  <si>
    <t>企画部の売上合計</t>
  </si>
  <si>
    <t>50万以上の人数</t>
  </si>
  <si>
    <t>営業部&amp;50万以上</t>
  </si>
  <si>
    <t>COUNTIF/SUMIF/COUNTIFS</t>
  </si>
  <si>
    <t>条件付きカウントと条件付き合計を求める</t>
  </si>
  <si>
    <t>① F5: =COUNTIF(B5:B16,"営業部") → 6
② F6: =SUMIF(B5:B16,"企画部",D5:D16) → 1,480,000
③ F7: =COUNTIF(D5:D16,"&gt;=500000") → 6
④ F8: =COUNTIFS(B5:B16,"営業部",D5:D16,"&gt;=500000") → 4</t>
  </si>
  <si>
    <t>COUNTIF(範囲,条件)は1条件。COUNTIFS(範囲1,条件1,範囲2,条件2...)は複数条件（AND）。条件に比較演算子を使う場合は"&gt;=500000"のように文字列として指定。</t>
  </si>
  <si>
    <t>営業部人数:6 / 企画部売上合計:1,480,000 / 50万以上:6 / 営業部&amp;50万以上:4</t>
  </si>
  <si>
    <t>【実技問題 P14】VLOOKUP / XLOOKUP</t>
  </si>
  <si>
    <t>📋 指示:
① G6にVLOOKUP関数を入力し、F6の商品コードを元にA列〜D列の商品マスタから「商品名」（2列目）を取得してください
② H6にVLOOKUP関数を入力し、F6の商品コードを元に「単価」（3列目）を取得してください
③ G6:H6の数式をG7:H10にコピーしてください
④ （発展）G12にXLOOKUP関数を使って同じ結果を求めてください：=XLOOKUP(F12,A5:A14,B5:B14)</t>
  </si>
  <si>
    <t>商品名(VLOOKUP)</t>
  </si>
  <si>
    <t>単価(VLOOKUP)</t>
  </si>
  <si>
    <t>商品名(XLOOKUP)</t>
  </si>
  <si>
    <t>VLOOKUP / XLOOKUP</t>
  </si>
  <si>
    <t>商品マスタからVLOOKUPで商品名と単価を取得する</t>
  </si>
  <si>
    <t>① G6: =VLOOKUP(F6,$A$5:$D$14,2,FALSE)
② H6: =VLOOKUP(F6,$A$5:$D$14,3,FALSE)
③ G6:H6をコピー→G7:H10に貼り付け
④ G12: =XLOOKUP(F12,A5:A14,B5:B14)</t>
  </si>
  <si>
    <t>VLOOKUP(検索値,範囲,列番号,FALSE)。FALSEは完全一致。$A$5:$D$14と絶対参照にしてコピーに対応。XLOOKUPは列番号不要で直感的。</t>
  </si>
  <si>
    <t>P003→USBメモリ16GB/980, P007→ホッチキス/350, P001→ボールペン（黒）/150, P010→LANケーブル3m/480, P005→マウスパッド/550, P008→電卓</t>
  </si>
  <si>
    <t>【実技問題 P15】文字列関数</t>
  </si>
  <si>
    <t>📋 指示:
① B5にLEFT関数でA5から左3文字を抽出してください。B6:B9にもコピー。
② C5にRIGHT関数でA5から右2文字を抽出してください。C6:C9にもコピー。
③ D5にMID関数でA5の5文字目から5文字を抽出してください。D6:D9にもコピー。
④ G5にCONCAT関数でE5とF5を結合してください。G6:G9にもコピー。
⑤ H5にTEXTJOIN関数でE5とF5を半角スペース区切りで結合してください。H6:H9にもコピー。</t>
  </si>
  <si>
    <t>コード</t>
  </si>
  <si>
    <t>LEFT(3文字)</t>
  </si>
  <si>
    <t>RIGHT(2文字)</t>
  </si>
  <si>
    <t>MID(5文字目から5文字)</t>
  </si>
  <si>
    <t>ABC-12345-XY</t>
  </si>
  <si>
    <t>DEF-67890-ZW</t>
  </si>
  <si>
    <t>GHI-11111-AB</t>
  </si>
  <si>
    <t>JKL-22222-CD</t>
  </si>
  <si>
    <t>MNO-33333-EF</t>
  </si>
  <si>
    <t>姓</t>
  </si>
  <si>
    <t>名</t>
  </si>
  <si>
    <t>CONCAT結合</t>
  </si>
  <si>
    <t>TEXTJOIN結合</t>
  </si>
  <si>
    <t>太郎</t>
  </si>
  <si>
    <t>花子</t>
  </si>
  <si>
    <t>一郎</t>
  </si>
  <si>
    <t>美咲</t>
  </si>
  <si>
    <t>健太</t>
  </si>
  <si>
    <t>LEFT/RIGHT/MID/CONCAT/TEXTJOIN</t>
  </si>
  <si>
    <t>文字列関数で抽出と結合を行う</t>
  </si>
  <si>
    <t>① B5: =LEFT(A5,3) → ABC
② C5: =RIGHT(A5,2) → XY
③ D5: =MID(A5,5,5) → 12345
④ G5: =CONCAT(E5,F5) → 田中太郎
⑤ H5: =TEXTJOIN(" ",TRUE,E5,F5) → 田中 太郎</t>
  </si>
  <si>
    <t>LEFT(文字列,文字数)/RIGHT(文字列,文字数)/MID(文字列,開始位置,文字数)。MIDの開始位置は1から。TEXTJOIN(区切り文字,空白無視,範囲)は区切り文字を指定できる。</t>
  </si>
  <si>
    <t>B5:ABC C5:XY D5:12345 G5:田中太郎 H5:田中 太郎</t>
  </si>
  <si>
    <t>【実技問題 P16】絶対参照と複合参照</t>
  </si>
  <si>
    <t>📋 指示:
① C6に =B6*$C$4 と入力してください（C4の税率を絶対参照）。C7:C10にコピーしてください。
② D6に =B6*(1+$C$4) と入力して税込金額を計算してください。D7:D10にコピーしてください。
③ 九九の表：B14に =$A14*B$13 と入力し、B14:J22の範囲にコピーして九九の表を完成させてください。</t>
  </si>
  <si>
    <t>税率:</t>
  </si>
  <si>
    <t>税抜金額</t>
  </si>
  <si>
    <t>消費税額</t>
  </si>
  <si>
    <t>税込金額</t>
  </si>
  <si>
    <t>ノートPC</t>
  </si>
  <si>
    <t>マウス</t>
  </si>
  <si>
    <t>キーボード</t>
  </si>
  <si>
    <t>モニター</t>
  </si>
  <si>
    <t>ケーブル</t>
  </si>
  <si>
    <t>【九九の表】</t>
  </si>
  <si>
    <t>×</t>
  </si>
  <si>
    <t>絶対参照で税率を固定、複合参照で九九の表を作成</t>
  </si>
  <si>
    <t>① C6: =B6*$C$4 → コピーしてもC4が固定される
② D6: =B6*(1+$C$4) → 税込金額
③ B14: =$A14*B$13 → B14:J22にコピーで九九の表完成
  $A14：列Aが固定（右にコピーしてもA列参照）
  B$13：行13が固定（下にコピーしても13行参照）</t>
  </si>
  <si>
    <t>$C$4(絶対)：行列両方固定。$A14(複合)：列のみ固定。B$13(複合)：行のみ固定。F4キーで$記号を切り替え。</t>
  </si>
  <si>
    <t>C6=9800, D6=107800。九九の表でB14=1(1×1), J22=81(9×9)になれば正解</t>
  </si>
  <si>
    <t>【実技問題 P17】動的配列関数 SORT / UNIQUE / SEQUENCE</t>
  </si>
  <si>
    <t>📋 指示:
① D5に UNIQUE関数 を入力し、A5:A14から重複を除いた一意の地域リストを表示してください
② F5に SORT関数 を入力し、A5:B14のデータをB列（売上）の降順で並べ替えた結果を表示してください
③ H5に SEQUENCE関数 を入力し、5行3列・1から始まり1ずつ増える連番を生成してください</t>
  </si>
  <si>
    <t>売上</t>
  </si>
  <si>
    <t>UNIQUE結果</t>
  </si>
  <si>
    <t>SORT結果</t>
  </si>
  <si>
    <t>SEQUENCE結果</t>
  </si>
  <si>
    <t>SORT / UNIQUE / SEQUENCE</t>
  </si>
  <si>
    <t>動的配列関数で一意リスト、並べ替え、連番を生成する</t>
  </si>
  <si>
    <t>① D5: =UNIQUE(A5:A14) → 関東,関西,中部,九州,北海道,東北 がスピル展開
② F5: =SORT(A5:B14,2,-1) → B列降順で並べ替え結果がスピル展開
③ H5: =SEQUENCE(5,3,1,1) → 5行3列の連番(1〜15)がスピル展開</t>
  </si>
  <si>
    <t>SORT(配列,列番号,順序)：-1=降順。UNIQUE(配列)：重複除去。SEQUENCE(行,列,開始,増分)：連番生成。全てスピル関数で結果が自動展開される。</t>
  </si>
  <si>
    <t>D列に6つの地域名、F:G列に売上降順の10行データ、H:J列に1〜15の連番が表示されれば正解</t>
  </si>
  <si>
    <t>【実技問題 P18】集合縦棒グラフの作成</t>
  </si>
  <si>
    <t>📋 指示:
① A4:D8のデータを基に「集合縦棒グラフ」を作成してください
② グラフタイトルを「四半期別売上比較」に変更してください
③ 凡例をグラフの下部に表示してください
④ グラフをセル範囲A10:E25あたりに配置してください</t>
  </si>
  <si>
    <t>支店</t>
  </si>
  <si>
    <t>Q1売上</t>
  </si>
  <si>
    <t>Q2売上</t>
  </si>
  <si>
    <t>Q3売上</t>
  </si>
  <si>
    <t>四半期別売上データから集合縦棒グラフを作成し書式設定する</t>
  </si>
  <si>
    <t>① A4:D8を選択→【挿入】→【縦棒/横棒グラフの挿入】→【集合縦棒】
② グラフタイトルをクリック→「四半期別売上比較」と入力
③ グラフ右上の[+]→【凡例】→▶→【下】を選択
④ グラフの枠をドラッグしてA10:E25付近に配置</t>
  </si>
  <si>
    <t>Alt+F1でデフォルトグラフを即座に作成可能。グラフ要素の追加は右上の[+]ボタンが便利。凡例の位置はグラフのデザインに大きく影響する。</t>
  </si>
  <si>
    <t>4支店×3四半期の集合縦棒グラフが表示され、タイトルが「四半期別売上比較」、凡例が下部に表示されていれば正解</t>
  </si>
  <si>
    <t>【実技問題 P19】円グラフとデータラベル</t>
  </si>
  <si>
    <t>📋 指示:
① A4:B9のデータを基に「円グラフ」を作成してください
② データラベルに「パーセンテージ」と「分類名」を表示してください
③ グラフタイトルを「地域別売上構成比」に設定してください
④ グラフをA11:F25あたりに配置してください</t>
  </si>
  <si>
    <t>北海道・東北</t>
  </si>
  <si>
    <t>地域別売上データから円グラフを作成しデータラベルを設定する</t>
  </si>
  <si>
    <t>① A4:B9を選択→【挿入】→【円グラフ】→【円】
② グラフクリック→右上[+]→【データラベル】→▶→【その他のオプション】
③ 【ラベルの内容】で「パーセンテージ」と「分類名」にチェック
④ グラフタイトルをクリック→「地域別売上構成比」と入力</t>
  </si>
  <si>
    <t>円グラフは全体に対する割合表示に最適。データラベルは[+]ボタン→【データラベル】→【その他のオプション】で詳細設定。値とパーセンテージの両方表示も可能。</t>
  </si>
  <si>
    <t>5つの地域の構成比が円グラフで表示され、各スライスに分類名とパーセンテージが表示されていれば正解</t>
  </si>
  <si>
    <t>【実技問題 P20】折れ線グラフの作成と編集</t>
  </si>
  <si>
    <t>📋 指示:
① A4:C16のデータを基に「折れ線グラフ（マーカー付き）」を作成してください
② グラフタイトルを「月別売上推移」に設定してください
③ 横軸に月名、縦軸に売上金額が表示されるようにしてください
④ グラフにデータ系列「目標」（D列）を追加してください
⑤ グラフをA18:G35あたりに配置してください</t>
  </si>
  <si>
    <t>実績</t>
  </si>
  <si>
    <t>前年</t>
  </si>
  <si>
    <t>目標</t>
  </si>
  <si>
    <t>折れ線グラフ / データ系列の追加</t>
  </si>
  <si>
    <t>月次推移の折れ線グラフを作成し、目標データ系列を追加する</t>
  </si>
  <si>
    <t>① A4:C16を選択→【挿入】→【折れ線】→【マーカー付き折れ線】
② グラフタイトルをクリック→「月別売上推移」と入力
③ グラフを右クリック→【データの選択】→【追加】
④ 系列名にD4、系列値にD5:D16を指定→OK
   （または、グラフ選択時の青い枠をD列まで拡張）
⑤ グラフをA18:G35に配置</t>
  </si>
  <si>
    <t>データ系列の追加は「データの選択」ダイアログ→「追加」が確実。グラフの青い枠をドラッグして範囲拡張する方法もある。マーカー付き折れ線はデータポイントが見やすい。</t>
  </si>
  <si>
    <t>実績・前年・目標の3本の折れ線がマーカー付きで表示され、月名が横軸に表示されていれば正解</t>
  </si>
  <si>
    <t>【実技問題 P21】SUMIFS関数（複数条件の合計）</t>
  </si>
  <si>
    <t>📋 指示:
① F5に、SUMIFS関数で「部署」が「営業部」かつ「地域」が「東京」の売上金額の合計を求めてください
② F6に、SUMIFS関数で「部署」が「企画部」かつ「売上金額」が400,000以上の売上金額の合計を求めてください
③ F7に、SUMIFS関数で「地域」が「大阪」かつ「売上金額」が500,000以上の売上金額の合計を求めてください
④ F8に、AVERAGEIFS関数で「部署」が「営業部」の売上金額の平均を求めてください</t>
  </si>
  <si>
    <t>営業部 &amp; 東京</t>
  </si>
  <si>
    <t>企画部 &amp; 40万以上</t>
  </si>
  <si>
    <t>大阪 &amp; 50万以上</t>
  </si>
  <si>
    <t>営業部の平均</t>
  </si>
  <si>
    <t>P21</t>
  </si>
  <si>
    <t>SUMIFS / AVERAGEIFS</t>
  </si>
  <si>
    <t>複数条件で売上合計・平均を求める</t>
  </si>
  <si>
    <t>① F5: =SUMIFS(D5:D19,B5:B19,"営業部",C5:C19,"東京") → 1,990,000
② F6: =SUMIFS(D5:D19,B5:B19,"企画部",D5:D19,"&gt;=400000") → 1,900,000
③ F7: =SUMIFS(D5:D19,C5:C19,"大阪",D5:D19,"&gt;=500000") → 1,680,000
④ F8: =AVERAGEIFS(D5:D19,B5:B19,"営業部") → 575,714</t>
  </si>
  <si>
    <t>SUMIFS(合計範囲, 条件範囲1, 条件1, 条件範囲2, 条件2, ...) の構文。
SUMIFとは引数の順序が異なる（SUMIFは条件範囲が先、SUMIFSは合計範囲が先）。
AVERAGEIFSも同じ構文パターン。条件に比較演算子を使う場合は "&gt;=400000" のように文字列で指定。</t>
  </si>
  <si>
    <t>F5=1,990,000 / F6=1,900,000 / F7=1,680,000 / F8≒575,714 になれば正解</t>
  </si>
  <si>
    <t>【実技問題 P22】IF + AND / OR 関数の組み合わせ</t>
  </si>
  <si>
    <t>📋 指示:
① E5に IF+AND を使い、「国語(B列)が70以上」かつ「数学(C列)が70以上」かつ「英語(D列)が70以上」なら「合格」、それ以外は「不合格」と表示してください。E6:E14にもコピー。
② F5に IF+OR を使い、「国語・数学・英語のいずれかが90以上」なら「優秀科目あり」、それ以外は「なし」と表示してください。F6:F14にもコピー。
③ G5に IF+AND を使い、「3科目すべて80以上」なら「特待生候補」、「すべて60以上」なら「通常」、それ以外は「要補習」と表示してください。G6:G14にもコピー。</t>
  </si>
  <si>
    <t>合否(AND)</t>
  </si>
  <si>
    <t>優秀判定(OR)</t>
  </si>
  <si>
    <t>ランク(AND+IF)</t>
  </si>
  <si>
    <t>P22</t>
  </si>
  <si>
    <t>IF + AND / OR の組み合わせ</t>
  </si>
  <si>
    <t>AND/OR関数をIFと組み合わせて複合条件で判定する</t>
  </si>
  <si>
    <t>① E5: =IF(AND(B5&gt;=70,C5&gt;=70,D5&gt;=70),"合格","不合格")
② F5: =IF(OR(B5&gt;=90,C5&gt;=90,D5&gt;=90),"優秀科目あり","なし")
③ G5: =IF(AND(B5&gt;=80,C5&gt;=80,D5&gt;=80),"特待生候補",IF(AND(B5&gt;=60,C5&gt;=60,D5&gt;=60),"通常","要補習"))</t>
  </si>
  <si>
    <t>AND(条件1,条件2,...)：すべてTRUEならTRUE
OR(条件1,条件2,...)：いずれかTRUEならTRUE
IF関数の条件部分にAND/ORを入れるのがポイント。③はIF+ANDのネストで3段階判定。</t>
  </si>
  <si>
    <t>青山:合格/優秀科目あり/通常 | 木下:合格/優秀科目あり/特待生候補 | 上田:不合格/なし/要補習 | 岡田:不合格/優秀科目あり/要補習</t>
  </si>
  <si>
    <t>【実技問題 P23】データの入力規則（ドロップダウンリスト）</t>
  </si>
  <si>
    <t>📋 指示:
① B5:B14に、ドロップダウンリストで「営業部, 企画部, 総務部, 経理部」から選択できるよう入力規則を設定してください
② C5:C14に、ドロップダウンリストでE5:E8の地域リストを参照して選択できるよう入力規則を設定してください
③ D5:D14に、100000以上1000000以下の整数のみ入力できるよう入力規則を設定してください（エラーメッセージ：「10万〜100万の範囲で入力してください」）</t>
  </si>
  <si>
    <t>地域リスト</t>
  </si>
  <si>
    <t>福岡</t>
  </si>
  <si>
    <t>💡 ヒント</t>
  </si>
  <si>
    <t>【データ】タブ→【データの入力規則】で設定</t>
  </si>
  <si>
    <t>P23</t>
  </si>
  <si>
    <t>データの入力規則（ドロップダウンリスト）</t>
  </si>
  <si>
    <t>ドロップダウンリストと数値制限の入力規則を設定する</t>
  </si>
  <si>
    <t>① B5:B14を選択→【データ】→【データの入力規則】→入力値の種類「リスト」→元の値に「営業部,企画部,総務部,経理部」と入力→OK
② C5:C14を選択→【データの入力規則】→入力値の種類「リスト」→元の値に =$E$5:$E$8 を指定→OK
③ D5:D14を選択→【データの入力規則】→入力値の種類「整数」→最小値100000、最大値1000000→【エラーメッセージ】タブでメッセージを入力→OK</t>
  </si>
  <si>
    <t>リストの元の値は直接カンマ区切りで入力するか、セル範囲を参照する2つの方法がある。
セル範囲を参照する場合は絶対参照($E$5:$E$8)にする。
数値制限では「整数」「小数点数」「日付」等を選べる。
エラーメッセージのスタイルは「停止」「注意」「情報」の3種類。</t>
  </si>
  <si>
    <t>B列セルをクリックすると▼が表示され4部署から選択可能。C列で4地域から選択可能。D列に50000と入力するとエラーが表示されれば正解</t>
  </si>
  <si>
    <t>【実技問題 P24】セルの結合・解除と再操作</t>
  </si>
  <si>
    <t>📋 指示:
① A5:F5を結合して中央揃えにし、「2025年度 上半期売上報告書」と入力してください
② A7:A9が結合されています。この結合を解除してください
③ 結合解除後、A7に「4月」、A8に「5月」、A9に「6月」と入力してください
④ D7:D9を結合して中央揃えにし、「第1四半期」と入力してください</t>
  </si>
  <si>
    <t>（結合済み）</t>
  </si>
  <si>
    <t>経費</t>
  </si>
  <si>
    <t>区分</t>
  </si>
  <si>
    <t>担当</t>
  </si>
  <si>
    <t>備考</t>
  </si>
  <si>
    <t>💡 ヒント：結合の操作は【ホーム】タブ→【セルを結合して中央揃え】ボタンの▼から行います</t>
  </si>
  <si>
    <t>P24</t>
  </si>
  <si>
    <t>セルの結合・解除・再入力を行う</t>
  </si>
  <si>
    <t>① A5:F5を選択→【ホーム】→【セルを結合して中央揃え】→「2025年度 上半期売上報告書」と入力
② A7:A9（結合セル）を選択→【セルを結合して中央揃え】ボタンをクリック（トグルで解除）
   または▼→【セル結合の解除】
③ A7に「4月」、A8に「5月」、A9に「6月」と入力
④ D7:D9を選択→【セルを結合して中央揃え】→「第1四半期」と入力</t>
  </si>
  <si>
    <t>結合ボタンはトグル式。結合済みセルをクリックすると解除になる。
結合時は左上セルの値のみ残り、他のセルの値は削除される。
結合セルは並べ替え・フィルターに悪影響があるため、データ範囲内での多用は避ける。</t>
  </si>
  <si>
    <t>A5:F5が結合され中央にタイトル、A7〜A9が個別セルで月名入力、D7:D9が結合で「第1四半期」が表示されれば正解</t>
  </si>
  <si>
    <t>【実技問題 P25】グラフの行/列の切り替えとデータ系列編集</t>
  </si>
  <si>
    <t>📋 指示:
① A4:E7のデータを基に集合縦棒グラフを作成してください
② グラフの「行/列の切り替え」を実行して、横軸に科目名、凡例に人名が表示されるようにしてください
③ グラフタイトルを「科目別成績比較」に変更してください
④ 凡例をグラフの右側に表示してください</t>
  </si>
  <si>
    <t>P25</t>
  </si>
  <si>
    <t>行と列を入れ替える / 凡例の位置</t>
  </si>
  <si>
    <t>グラフの行/列を切り替え、横軸に科目・凡例に人名を表示する</t>
  </si>
  <si>
    <t>① A4:E7を選択→【挿入】→【縦棒グラフ】→【集合縦棒】
② グラフを選択→【グラフデザイン】タブ→【行/列の切り替え】をクリック
③ グラフタイトルをクリック→「科目別成績比較」と入力
④ グラフ右上[+]→【凡例】→▶→【右】を選択</t>
  </si>
  <si>
    <t>初期状態では横軸に人名・凡例に科目が表示される。
【行/列の切り替え】で横軸と凡例が入れ替わる。
「どちらが見やすいか」をデータの内容に応じて判断する力が試される。
凡例の位置は上下左右から選べる。</t>
  </si>
  <si>
    <t>横軸に「国語・数学・英語・理科」、凡例に「田中・佐藤・鈴木」、タイトル「科目別成績比較」、凡例が右側にあれば正解</t>
  </si>
  <si>
    <t>【実技問題 P26】ピボットテーブルの作成</t>
  </si>
  <si>
    <t>📋 指示:
① A4:E24のデータを基にピボットテーブルを新しいワークシートに作成してください
② 行フィールドに「地域」、列フィールドに「カテゴリ」、値フィールドに「売上金額」の合計を設定してください
③ 値フィールドの表示形式を桁区切り（#,##0）に設定してください
④ ピボットテーブルのスタイルを任意の「中間」スタイルに変更してください</t>
  </si>
  <si>
    <t>家具</t>
  </si>
  <si>
    <t>デスクマット</t>
  </si>
  <si>
    <t>本棚</t>
  </si>
  <si>
    <t>椅子</t>
  </si>
  <si>
    <t>ORD016</t>
  </si>
  <si>
    <t>付箋</t>
  </si>
  <si>
    <t>ORD017</t>
  </si>
  <si>
    <t>封筒</t>
  </si>
  <si>
    <t>ORD018</t>
  </si>
  <si>
    <t>SDカード</t>
  </si>
  <si>
    <t>ORD019</t>
  </si>
  <si>
    <t>デスクライト</t>
  </si>
  <si>
    <t>ORD020</t>
  </si>
  <si>
    <t>Webカメラ</t>
  </si>
  <si>
    <t>P26</t>
  </si>
  <si>
    <t>3. テーブルとテーブルのデータの管理（発展）</t>
  </si>
  <si>
    <t>ピボットテーブルの作成</t>
  </si>
  <si>
    <t>売上データからピボットテーブルを作成し、地域×カテゴリの売上集計を行う</t>
  </si>
  <si>
    <t>① A4:E24内の任意のセルをクリック
② 【挿入】タブ→【ピボットテーブル】をクリック
③ テーブル/範囲が$A$4:$E$24になっていることを確認
④ 「新規ワークシート」を選択→OK
⑤ フィールドリストから「地域」を【行】にドラッグ
⑥ 「カテゴリ」を【列】にドラッグ
⑦ 「売上金額」を【値】にドラッグ（自動的に「合計」になる）
⑧ 値フィールドをクリック→【値フィールドの設定】→【表示形式】→#,##0→OK
⑨ 【ピボットテーブルデザイン】→スタイルギャラリーから「中間」スタイルを選択</t>
  </si>
  <si>
    <t>ピボットテーブルはデータの集計・分析に最も強力なツール。
行・列・値・フィルターの4つのエリアにフィールドをドラッグして配置する。
値のデフォルトは数値なら「合計」、テキストなら「個数」。
元データを変更した場合は【更新】ボタンで反映する。</t>
  </si>
  <si>
    <t>新しいシートにピボットテーブルが作成され、行に4地域、列に3カテゴリ、値に売上合計が桁区切りで表示されていれば正解</t>
  </si>
  <si>
    <t>IF + AND / OR</t>
  </si>
  <si>
    <t>AND/OR関数をIFと組み合わせて複合条件判定</t>
  </si>
  <si>
    <t>データの入力規則</t>
  </si>
  <si>
    <t>ドロップダウンリスト・数値制限の入力規則を設定</t>
  </si>
  <si>
    <t>セルの結合・解除</t>
  </si>
  <si>
    <t>セルの結合・結合解除・再入力の操作</t>
  </si>
  <si>
    <t>行/列の切り替え</t>
  </si>
  <si>
    <t>グラフの行列切替で横軸と凡例を変更する</t>
  </si>
  <si>
    <t>ピボットテーブル</t>
  </si>
  <si>
    <t>ピボットテーブルを作成し地域×カテゴリの集計を行う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</si>
</sst>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
  </numFmts>
  <fonts count="19">
    <font>
      <sz val="12"/>
      <color theme="1"/>
      <name val="游ゴシック"/>
      <family val="2"/>
      <charset val="128"/>
      <scheme val="minor"/>
    </font>
    <font>
      <sz val="12"/>
      <color rgb="FFFF0000"/>
      <name val="游ゴシック"/>
      <family val="2"/>
      <charset val="128"/>
      <scheme val="minor"/>
    </font>
    <font>
      <b/>
      <sz val="12"/>
      <color theme="1"/>
      <name val="游ゴシック"/>
      <family val="2"/>
      <charset val="128"/>
      <scheme val="minor"/>
    </font>
    <font>
      <sz val="6"/>
      <name val="游ゴシック"/>
      <family val="2"/>
      <charset val="128"/>
      <scheme val="minor"/>
    </font>
    <font>
      <b/>
      <sz val="11"/>
      <color rgb="FFFFFFFF"/>
      <name val="游ゴシック"/>
      <family val="3"/>
      <charset val="128"/>
      <scheme val="minor"/>
    </font>
    <font>
      <b/>
      <sz val="12"/>
      <color rgb="FFFFFFFF"/>
      <name val="游ゴシック"/>
      <family val="2"/>
      <charset val="128"/>
      <scheme val="minor"/>
    </font>
    <font>
      <b/>
      <sz val="13"/>
      <color rgb="FF1F4E79"/>
      <name val="游ゴシック"/>
      <family val="2"/>
      <charset val="128"/>
      <scheme val="minor"/>
    </font>
    <font>
      <b/>
      <sz val="13"/>
      <color rgb="FF008000"/>
      <name val="游ゴシック"/>
      <family val="2"/>
      <charset val="128"/>
      <scheme val="minor"/>
    </font>
    <font>
      <b/>
      <sz val="11"/>
      <color theme="1"/>
      <name val="游ゴシック"/>
      <family val="2"/>
      <charset val="128"/>
      <scheme val="minor"/>
    </font>
    <font>
      <b/>
      <sz val="11"/>
      <color rgb="FFFFFFFF"/>
      <name val="游ゴシック"/>
      <family val="2"/>
      <charset val="128"/>
      <scheme val="minor"/>
    </font>
    <font>
      <b/>
      <sz val="12"/>
      <color rgb="FFFFFFFF"/>
      <name val="游ゴシック"/>
      <family val="3"/>
      <charset val="128"/>
      <scheme val="minor"/>
    </font>
    <font>
      <sz val="11"/>
      <color theme="1"/>
      <name val="游ゴシック"/>
      <family val="2"/>
      <charset val="128"/>
      <scheme val="minor"/>
    </font>
    <font>
      <sz val="11"/>
      <color theme="1"/>
      <name val="游ゴシック"/>
      <family val="3"/>
      <charset val="128"/>
      <scheme val="minor"/>
    </font>
    <font>
      <b/>
      <sz val="14"/>
      <color rgb="FF1F4E79"/>
      <name val="游ゴシック"/>
      <family val="2"/>
      <charset val="128"/>
      <scheme val="minor"/>
    </font>
    <font>
      <b/>
      <sz val="11"/>
      <color theme="1"/>
      <name val="游ゴシック"/>
      <family val="3"/>
      <charset val="128"/>
      <scheme val="minor"/>
    </font>
    <font>
      <b/>
      <sz val="12"/>
      <color rgb="FF1F4E79"/>
      <name val="游ゴシック"/>
      <family val="2"/>
      <charset val="128"/>
      <scheme val="minor"/>
    </font>
    <font>
      <b/>
      <sz val="12"/>
      <color rgb="FFFF0000"/>
      <name val="游ゴシック"/>
      <family val="2"/>
      <charset val="128"/>
      <scheme val="minor"/>
    </font>
    <font>
      <sz val="12"/>
      <color rgb="FF0000FF"/>
      <name val="游ゴシック"/>
      <family val="2"/>
      <charset val="128"/>
      <scheme val="minor"/>
    </font>
    <font>
      <i/>
      <sz val="12"/>
      <color rgb="FF808080"/>
      <name val="游ゴシック"/>
      <family val="2"/>
      <charset val="128"/>
      <scheme val="minor"/>
    </font>
  </fonts>
  <fills count="16">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DFF0D8"/>
        <bgColor indexed="64"/>
      </patternFill>
    </fill>
    <fill>
      <patternFill patternType="solid">
        <fgColor rgb="FFFCE4D6"/>
        <bgColor indexed="64"/>
      </patternFill>
    </fill>
    <fill>
      <patternFill patternType="solid">
        <fgColor rgb="FFE8D5F5"/>
        <bgColor indexed="64"/>
      </patternFill>
    </fill>
    <fill>
      <patternFill patternType="solid">
        <fgColor rgb="FFFFF2CC"/>
        <bgColor indexed="64"/>
      </patternFill>
    </fill>
    <fill>
      <patternFill patternType="solid">
        <fgColor rgb="FF4472C4"/>
        <bgColor indexed="64"/>
      </patternFill>
    </fill>
    <fill>
      <patternFill patternType="solid">
        <fgColor rgb="FFE2EFDA"/>
        <bgColor indexed="64"/>
      </patternFill>
    </fill>
    <fill>
      <patternFill patternType="solid">
        <fgColor rgb="FFDAEEF3"/>
        <bgColor indexed="64"/>
      </patternFill>
    </fill>
    <fill>
      <patternFill patternType="solid">
        <fgColor rgb="FF548235"/>
        <bgColor indexed="64"/>
      </patternFill>
    </fill>
    <fill>
      <patternFill patternType="solid">
        <fgColor rgb="FFFFFFFF"/>
        <bgColor indexed="64"/>
      </patternFill>
    </fill>
    <fill>
      <patternFill patternType="solid">
        <fgColor rgb="FFBF8F00"/>
        <bgColor indexed="64"/>
      </patternFill>
    </fill>
    <fill>
      <patternFill patternType="solid">
        <fgColor rgb="FF7030A0"/>
        <bgColor indexed="64"/>
      </patternFill>
    </fill>
    <fill>
      <patternFill patternType="solid">
        <fgColor rgb="FFFFC000"/>
        <bgColor indexed="64"/>
      </patternFill>
    </fill>
  </fills>
  <borders count="13">
    <border>
      <left/>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medium">
        <color auto="1"/>
      </bottom>
      <diagonal/>
    </border>
    <border>
      <left style="medium">
        <color auto="1"/>
      </left>
      <right style="thin">
        <color rgb="FFC0C0C0"/>
      </right>
      <top style="thin">
        <color rgb="FFC0C0C0"/>
      </top>
      <bottom style="thin">
        <color rgb="FFC0C0C0"/>
      </bottom>
      <diagonal/>
    </border>
    <border>
      <left style="medium">
        <color auto="1"/>
      </left>
      <right style="thin">
        <color rgb="FFC0C0C0"/>
      </right>
      <top style="thin">
        <color rgb="FFC0C0C0"/>
      </top>
      <bottom style="medium">
        <color auto="1"/>
      </bottom>
      <diagonal/>
    </border>
    <border>
      <left style="thin">
        <color rgb="FFC0C0C0"/>
      </left>
      <right style="medium">
        <color auto="1"/>
      </right>
      <top style="thin">
        <color rgb="FFC0C0C0"/>
      </top>
      <bottom style="thin">
        <color rgb="FFC0C0C0"/>
      </bottom>
      <diagonal/>
    </border>
    <border>
      <left style="thin">
        <color rgb="FFC0C0C0"/>
      </left>
      <right style="medium">
        <color auto="1"/>
      </right>
      <top style="thin">
        <color rgb="FFC0C0C0"/>
      </top>
      <bottom style="medium">
        <color auto="1"/>
      </bottom>
      <diagonal/>
    </border>
    <border>
      <left style="medium">
        <color auto="1"/>
      </left>
      <right style="thin">
        <color rgb="FFC0C0C0"/>
      </right>
      <top/>
      <bottom style="thin">
        <color rgb="FFC0C0C0"/>
      </bottom>
      <diagonal/>
    </border>
    <border>
      <left style="thin">
        <color rgb="FFC0C0C0"/>
      </left>
      <right style="medium">
        <color auto="1"/>
      </right>
      <top/>
      <bottom style="thin">
        <color rgb="FFC0C0C0"/>
      </bottom>
      <diagonal/>
    </border>
    <border>
      <left style="medium">
        <color auto="1"/>
      </left>
      <right style="thin">
        <color rgb="FFC0C0C0"/>
      </right>
      <top style="medium">
        <color auto="1"/>
      </top>
      <bottom style="medium">
        <color rgb="FF000000"/>
      </bottom>
      <diagonal/>
    </border>
    <border>
      <left style="thin">
        <color rgb="FFC0C0C0"/>
      </left>
      <right style="thin">
        <color rgb="FFC0C0C0"/>
      </right>
      <top style="medium">
        <color auto="1"/>
      </top>
      <bottom style="medium">
        <color rgb="FF000000"/>
      </bottom>
      <diagonal/>
    </border>
    <border>
      <left style="thin">
        <color rgb="FFC0C0C0"/>
      </left>
      <right style="medium">
        <color auto="1"/>
      </right>
      <top style="medium">
        <color auto="1"/>
      </top>
      <bottom style="medium">
        <color rgb="FF000000"/>
      </bottom>
      <diagonal/>
    </border>
  </borders>
  <cellStyleXfs count="1">
    <xf numFmtId="0" fontId="0" fillId="0" borderId="0">
      <alignment vertical="center"/>
    </xf>
  </cellStyleXfs>
  <cellXfs count="86">
    <xf numFmtId="0" fontId="0" fillId="0" borderId="0" xfId="0">
      <alignment vertical="center"/>
    </xf>
    <xf numFmtId="0" fontId="0" fillId="0" borderId="0" xfId="0" applyAlignment="1">
      <alignment vertical="center" wrapText="1"/>
    </xf>
    <xf numFmtId="0" fontId="0" fillId="3" borderId="0" xfId="0" applyFill="1">
      <alignment vertical="center"/>
    </xf>
    <xf numFmtId="0" fontId="0" fillId="7" borderId="0" xfId="0" applyFill="1">
      <alignment vertical="center"/>
    </xf>
    <xf numFmtId="0" fontId="0" fillId="3" borderId="2" xfId="0" applyFill="1" applyBorder="1">
      <alignment vertical="center"/>
    </xf>
    <xf numFmtId="0" fontId="0" fillId="0" borderId="2" xfId="0" applyBorder="1">
      <alignment vertical="center"/>
    </xf>
    <xf numFmtId="0" fontId="0" fillId="0" borderId="2" xfId="0" applyBorder="1" applyAlignment="1">
      <alignment vertical="center" wrapText="1"/>
    </xf>
    <xf numFmtId="0" fontId="0" fillId="4" borderId="2" xfId="0" applyFill="1" applyBorder="1">
      <alignment vertical="center"/>
    </xf>
    <xf numFmtId="0" fontId="0" fillId="5" borderId="2" xfId="0" applyFill="1" applyBorder="1">
      <alignment vertical="center"/>
    </xf>
    <xf numFmtId="0" fontId="0" fillId="6" borderId="2" xfId="0" applyFill="1" applyBorder="1">
      <alignment vertical="center"/>
    </xf>
    <xf numFmtId="0" fontId="0" fillId="7" borderId="2" xfId="0" applyFill="1" applyBorder="1">
      <alignment vertical="center"/>
    </xf>
    <xf numFmtId="0" fontId="0" fillId="7" borderId="3" xfId="0" applyFill="1" applyBorder="1">
      <alignment vertical="center"/>
    </xf>
    <xf numFmtId="0" fontId="0" fillId="0" borderId="3" xfId="0" applyBorder="1">
      <alignment vertical="center"/>
    </xf>
    <xf numFmtId="0" fontId="0" fillId="0" borderId="3" xfId="0" applyBorder="1" applyAlignment="1">
      <alignmen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horizontal="center" vertical="center"/>
    </xf>
    <xf numFmtId="0" fontId="0" fillId="3" borderId="1" xfId="0" applyFill="1" applyBorder="1">
      <alignment vertical="center"/>
    </xf>
    <xf numFmtId="0" fontId="0" fillId="0" borderId="1" xfId="0" applyBorder="1">
      <alignment vertical="center"/>
    </xf>
    <xf numFmtId="0" fontId="0" fillId="0" borderId="1" xfId="0" applyBorder="1" applyAlignment="1">
      <alignment vertical="center" wrapText="1"/>
    </xf>
    <xf numFmtId="0" fontId="0" fillId="0" borderId="9" xfId="0" applyBorder="1" applyAlignment="1">
      <alignment vertical="center" wrapText="1"/>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2" fillId="0" borderId="0" xfId="0" applyFont="1">
      <alignment vertical="center"/>
    </xf>
    <xf numFmtId="0" fontId="5" fillId="2" borderId="0" xfId="0" applyFont="1" applyFill="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8" borderId="0" xfId="0" applyFont="1" applyFill="1" applyAlignment="1">
      <alignment horizontal="center" vertical="center"/>
    </xf>
    <xf numFmtId="0" fontId="0" fillId="0" borderId="0" xfId="0" applyAlignment="1">
      <alignment vertical="top" wrapText="1"/>
    </xf>
    <xf numFmtId="0" fontId="5" fillId="8" borderId="0" xfId="0" applyFont="1" applyFill="1">
      <alignment vertical="center"/>
    </xf>
    <xf numFmtId="0" fontId="0" fillId="9" borderId="0" xfId="0" applyFill="1" applyAlignment="1">
      <alignment vertical="top" wrapText="1"/>
    </xf>
    <xf numFmtId="0" fontId="0" fillId="7" borderId="0" xfId="0" applyFill="1" applyAlignment="1">
      <alignment vertical="top" wrapText="1"/>
    </xf>
    <xf numFmtId="0" fontId="0" fillId="10" borderId="0" xfId="0" applyFill="1" applyAlignment="1">
      <alignment vertical="top" wrapText="1"/>
    </xf>
    <xf numFmtId="49" fontId="0" fillId="0" borderId="0" xfId="0" applyNumberFormat="1" applyAlignment="1">
      <alignment vertical="top" wrapText="1"/>
    </xf>
    <xf numFmtId="49" fontId="0" fillId="9" borderId="0" xfId="0" applyNumberFormat="1" applyFill="1" applyAlignment="1">
      <alignment vertical="top" wrapText="1"/>
    </xf>
    <xf numFmtId="49" fontId="0" fillId="7" borderId="0" xfId="0" applyNumberFormat="1" applyFill="1" applyAlignment="1">
      <alignment vertical="top" wrapText="1"/>
    </xf>
    <xf numFmtId="49" fontId="0" fillId="10" borderId="0" xfId="0" applyNumberFormat="1" applyFill="1" applyAlignment="1">
      <alignment vertical="top" wrapText="1"/>
    </xf>
    <xf numFmtId="0" fontId="10" fillId="2" borderId="0" xfId="0" applyFont="1" applyFill="1">
      <alignment vertical="center"/>
    </xf>
    <xf numFmtId="0" fontId="11" fillId="0" borderId="0" xfId="0" applyFont="1">
      <alignment vertical="center"/>
    </xf>
    <xf numFmtId="0" fontId="12" fillId="0" borderId="0" xfId="0" applyFont="1">
      <alignment vertical="center"/>
    </xf>
    <xf numFmtId="0" fontId="12" fillId="3" borderId="0" xfId="0" applyFont="1" applyFill="1">
      <alignment vertical="center"/>
    </xf>
    <xf numFmtId="0" fontId="0" fillId="0" borderId="0" xfId="0">
      <alignment vertical="center"/>
    </xf>
    <xf numFmtId="0" fontId="13" fillId="0" borderId="0" xfId="0" applyFont="1">
      <alignment vertical="center"/>
    </xf>
    <xf numFmtId="0" fontId="11" fillId="0" borderId="0" xfId="0" applyFont="1" applyAlignment="1">
      <alignment vertical="center" wrapText="1"/>
    </xf>
    <xf numFmtId="3" fontId="0" fillId="0" borderId="0" xfId="0" applyNumberFormat="1">
      <alignment vertical="center"/>
    </xf>
    <xf numFmtId="0" fontId="14" fillId="0" borderId="0" xfId="0" applyFont="1">
      <alignment vertical="center"/>
    </xf>
    <xf numFmtId="0" fontId="14" fillId="9" borderId="0" xfId="0" applyFont="1" applyFill="1">
      <alignment vertical="center"/>
    </xf>
    <xf numFmtId="0" fontId="12" fillId="9" borderId="0" xfId="0" applyFont="1" applyFill="1" applyAlignment="1">
      <alignment vertical="center" wrapText="1"/>
    </xf>
    <xf numFmtId="0" fontId="14" fillId="7" borderId="0" xfId="0" applyFont="1" applyFill="1">
      <alignment vertical="center"/>
    </xf>
    <xf numFmtId="0" fontId="12" fillId="7" borderId="0" xfId="0" applyFont="1" applyFill="1">
      <alignment vertical="center"/>
    </xf>
    <xf numFmtId="0" fontId="14" fillId="10" borderId="0" xfId="0" applyFont="1" applyFill="1">
      <alignment vertical="center"/>
    </xf>
    <xf numFmtId="0" fontId="12" fillId="10" borderId="0" xfId="0" applyFont="1" applyFill="1">
      <alignment vertical="center"/>
    </xf>
    <xf numFmtId="3" fontId="0" fillId="3" borderId="0" xfId="0" applyNumberFormat="1" applyFill="1">
      <alignment vertical="center"/>
    </xf>
    <xf numFmtId="0" fontId="8" fillId="9" borderId="0" xfId="0" applyFont="1" applyFill="1">
      <alignment vertical="center"/>
    </xf>
    <xf numFmtId="0" fontId="11" fillId="9" borderId="0" xfId="0" applyFont="1" applyFill="1" applyAlignment="1">
      <alignment vertical="center" wrapText="1"/>
    </xf>
    <xf numFmtId="0" fontId="8" fillId="7" borderId="0" xfId="0" applyFont="1" applyFill="1">
      <alignment vertical="center"/>
    </xf>
    <xf numFmtId="0" fontId="11" fillId="7" borderId="0" xfId="0" applyFont="1" applyFill="1">
      <alignment vertical="center"/>
    </xf>
    <xf numFmtId="0" fontId="8" fillId="10" borderId="0" xfId="0" applyFont="1" applyFill="1">
      <alignment vertical="center"/>
    </xf>
    <xf numFmtId="0" fontId="11" fillId="10" borderId="0" xfId="0" applyFont="1" applyFill="1">
      <alignment vertical="center"/>
    </xf>
    <xf numFmtId="0" fontId="0" fillId="0" borderId="0" xfId="0" applyNumberFormat="1">
      <alignment vertical="center"/>
    </xf>
    <xf numFmtId="0" fontId="11" fillId="7" borderId="0" xfId="0" applyFont="1" applyFill="1" applyAlignment="1">
      <alignment vertical="center" wrapText="1"/>
    </xf>
    <xf numFmtId="0" fontId="2" fillId="9" borderId="0" xfId="0" applyFont="1" applyFill="1">
      <alignment vertical="center"/>
    </xf>
    <xf numFmtId="0" fontId="0" fillId="9" borderId="0" xfId="0" applyFill="1" applyAlignment="1">
      <alignment vertical="center" wrapText="1"/>
    </xf>
    <xf numFmtId="0" fontId="2" fillId="7" borderId="0" xfId="0" applyFont="1" applyFill="1">
      <alignment vertical="center"/>
    </xf>
    <xf numFmtId="0" fontId="2" fillId="10" borderId="0" xfId="0" applyFont="1" applyFill="1">
      <alignment vertical="center"/>
    </xf>
    <xf numFmtId="0" fontId="0" fillId="10" borderId="0" xfId="0" applyFill="1">
      <alignment vertical="center"/>
    </xf>
    <xf numFmtId="0" fontId="15" fillId="0" borderId="0" xfId="0" applyFont="1">
      <alignment vertical="center"/>
    </xf>
    <xf numFmtId="0" fontId="5" fillId="11" borderId="0" xfId="0" applyFont="1" applyFill="1">
      <alignment vertical="center"/>
    </xf>
    <xf numFmtId="0" fontId="16" fillId="8" borderId="0" xfId="0" applyFont="1" applyFill="1">
      <alignment vertical="center"/>
    </xf>
    <xf numFmtId="0" fontId="1" fillId="0" borderId="0" xfId="0" applyFont="1">
      <alignment vertical="center"/>
    </xf>
    <xf numFmtId="0" fontId="0" fillId="7" borderId="0" xfId="0" applyFill="1" applyAlignment="1">
      <alignment vertical="center" wrapText="1"/>
    </xf>
    <xf numFmtId="179" fontId="0" fillId="0" borderId="0" xfId="0" applyNumberFormat="1">
      <alignment vertical="center"/>
    </xf>
    <xf numFmtId="3" fontId="0" fillId="12" borderId="0" xfId="0" applyNumberFormat="1" applyFill="1">
      <alignment vertical="center"/>
    </xf>
    <xf numFmtId="0" fontId="5" fillId="13" borderId="0" xfId="0" applyFont="1" applyFill="1">
      <alignment vertical="center"/>
    </xf>
    <xf numFmtId="9" fontId="17" fillId="0" borderId="0" xfId="0" applyNumberFormat="1" applyFont="1">
      <alignment vertical="center"/>
    </xf>
    <xf numFmtId="3" fontId="5" fillId="11" borderId="0" xfId="0" applyNumberFormat="1" applyFont="1" applyFill="1">
      <alignment vertical="center"/>
    </xf>
    <xf numFmtId="0" fontId="0" fillId="13" borderId="0" xfId="0" applyFill="1">
      <alignment vertical="center"/>
    </xf>
    <xf numFmtId="0" fontId="5" fillId="14" borderId="0" xfId="0" applyFont="1" applyFill="1">
      <alignment vertical="center"/>
    </xf>
    <xf numFmtId="0" fontId="5" fillId="15" borderId="0" xfId="0" applyFont="1" applyFill="1">
      <alignment vertical="center"/>
    </xf>
    <xf numFmtId="0" fontId="0" fillId="9" borderId="0" xfId="0" applyFill="1">
      <alignment vertical="center"/>
    </xf>
    <xf numFmtId="0" fontId="18" fillId="0" borderId="0" xfId="0" applyFont="1">
      <alignment vertical="center"/>
    </xf>
    <xf numFmtId="0" fontId="1"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styles" Target="styles.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heetMetadata" Target="metadata.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alcChain" Target="calcChain.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theme" Target="theme/theme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9DD2B91-217E-6A47-9C68-708E29CD63F4}">
  <we:reference id="wa200009404" version="1.0.0.5" store="ja-JP"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546D-964C-C04E-AED1-19E713027B03}">
  <dimension ref="A1:E61"/>
  <sheetViews>
    <sheetView workbookViewId="0">
      <pane ySplit="1" topLeftCell="A13" activePane="bottomLeft" state="frozen"/>
      <selection pane="bottomLeft"/>
    </sheetView>
  </sheetViews>
  <sheetFormatPr baseColWidth="10" defaultRowHeight="20"/>
  <cols>
    <col min="1" max="1" width="5" customWidth="1"/>
    <col min="2" max="2" width="28.5703125" customWidth="1"/>
    <col min="3" max="3" width="25.7109375" customWidth="1"/>
    <col min="4" max="5" width="54.28515625" customWidth="1"/>
  </cols>
  <sheetData>
    <row r="1" spans="1:5" ht="25" customHeight="1" thickBot="1">
      <c r="A1" s="23" t="s">
        <v>0</v>
      </c>
      <c r="B1" s="24" t="s">
        <v>1</v>
      </c>
      <c r="C1" s="24" t="s">
        <v>2</v>
      </c>
      <c r="D1" s="24" t="s">
        <v>3</v>
      </c>
      <c r="E1" s="25" t="s">
        <v>4</v>
      </c>
    </row>
    <row r="2" spans="1:5" ht="42">
      <c r="A2" s="18">
        <v>1</v>
      </c>
      <c r="B2" s="19" t="s">
        <v>5</v>
      </c>
      <c r="C2" s="20" t="s">
        <v>58</v>
      </c>
      <c r="D2" s="21" t="s">
        <v>6</v>
      </c>
      <c r="E2" s="22" t="s">
        <v>59</v>
      </c>
    </row>
    <row r="3" spans="1:5" ht="42">
      <c r="A3" s="14">
        <v>2</v>
      </c>
      <c r="B3" s="4" t="s">
        <v>5</v>
      </c>
      <c r="C3" s="5" t="s">
        <v>60</v>
      </c>
      <c r="D3" s="6" t="s">
        <v>7</v>
      </c>
      <c r="E3" s="16" t="s">
        <v>8</v>
      </c>
    </row>
    <row r="4" spans="1:5" ht="42">
      <c r="A4" s="14">
        <v>3</v>
      </c>
      <c r="B4" s="4" t="s">
        <v>5</v>
      </c>
      <c r="C4" s="5" t="s">
        <v>61</v>
      </c>
      <c r="D4" s="6" t="s">
        <v>9</v>
      </c>
      <c r="E4" s="16" t="s">
        <v>10</v>
      </c>
    </row>
    <row r="5" spans="1:5" ht="42">
      <c r="A5" s="14">
        <v>4</v>
      </c>
      <c r="B5" s="4" t="s">
        <v>5</v>
      </c>
      <c r="C5" s="5" t="s">
        <v>11</v>
      </c>
      <c r="D5" s="6" t="s">
        <v>12</v>
      </c>
      <c r="E5" s="16" t="s">
        <v>13</v>
      </c>
    </row>
    <row r="6" spans="1:5" ht="42">
      <c r="A6" s="14">
        <v>5</v>
      </c>
      <c r="B6" s="4" t="s">
        <v>5</v>
      </c>
      <c r="C6" s="5" t="s">
        <v>62</v>
      </c>
      <c r="D6" s="6" t="s">
        <v>14</v>
      </c>
      <c r="E6" s="16" t="s">
        <v>15</v>
      </c>
    </row>
    <row r="7" spans="1:5" ht="42">
      <c r="A7" s="14">
        <v>6</v>
      </c>
      <c r="B7" s="4" t="s">
        <v>5</v>
      </c>
      <c r="C7" s="5" t="s">
        <v>16</v>
      </c>
      <c r="D7" s="6" t="s">
        <v>17</v>
      </c>
      <c r="E7" s="16" t="s">
        <v>18</v>
      </c>
    </row>
    <row r="8" spans="1:5" ht="42">
      <c r="A8" s="14">
        <v>7</v>
      </c>
      <c r="B8" s="4" t="s">
        <v>5</v>
      </c>
      <c r="C8" s="5" t="s">
        <v>19</v>
      </c>
      <c r="D8" s="6" t="s">
        <v>20</v>
      </c>
      <c r="E8" s="16" t="s">
        <v>21</v>
      </c>
    </row>
    <row r="9" spans="1:5" ht="42">
      <c r="A9" s="14">
        <v>8</v>
      </c>
      <c r="B9" s="4" t="s">
        <v>5</v>
      </c>
      <c r="C9" s="5" t="s">
        <v>22</v>
      </c>
      <c r="D9" s="6" t="s">
        <v>23</v>
      </c>
      <c r="E9" s="16" t="s">
        <v>24</v>
      </c>
    </row>
    <row r="10" spans="1:5" ht="42">
      <c r="A10" s="14">
        <v>9</v>
      </c>
      <c r="B10" s="4" t="s">
        <v>5</v>
      </c>
      <c r="C10" s="5" t="s">
        <v>25</v>
      </c>
      <c r="D10" s="6" t="s">
        <v>26</v>
      </c>
      <c r="E10" s="16" t="s">
        <v>27</v>
      </c>
    </row>
    <row r="11" spans="1:5" ht="42">
      <c r="A11" s="14">
        <v>10</v>
      </c>
      <c r="B11" s="4" t="s">
        <v>5</v>
      </c>
      <c r="C11" s="5" t="s">
        <v>28</v>
      </c>
      <c r="D11" s="6" t="s">
        <v>29</v>
      </c>
      <c r="E11" s="16" t="s">
        <v>30</v>
      </c>
    </row>
    <row r="12" spans="1:5" ht="42">
      <c r="A12" s="14">
        <v>11</v>
      </c>
      <c r="B12" s="4" t="s">
        <v>5</v>
      </c>
      <c r="C12" s="5" t="s">
        <v>31</v>
      </c>
      <c r="D12" s="6" t="s">
        <v>32</v>
      </c>
      <c r="E12" s="16" t="s">
        <v>63</v>
      </c>
    </row>
    <row r="13" spans="1:5" ht="42">
      <c r="A13" s="14">
        <v>12</v>
      </c>
      <c r="B13" s="4" t="s">
        <v>5</v>
      </c>
      <c r="C13" s="5" t="s">
        <v>33</v>
      </c>
      <c r="D13" s="6" t="s">
        <v>64</v>
      </c>
      <c r="E13" s="16" t="s">
        <v>65</v>
      </c>
    </row>
    <row r="14" spans="1:5" ht="42">
      <c r="A14" s="14">
        <v>13</v>
      </c>
      <c r="B14" s="4" t="s">
        <v>5</v>
      </c>
      <c r="C14" s="5" t="s">
        <v>34</v>
      </c>
      <c r="D14" s="6" t="s">
        <v>35</v>
      </c>
      <c r="E14" s="16" t="s">
        <v>36</v>
      </c>
    </row>
    <row r="15" spans="1:5" ht="42">
      <c r="A15" s="14">
        <v>14</v>
      </c>
      <c r="B15" s="4" t="s">
        <v>5</v>
      </c>
      <c r="C15" s="5" t="s">
        <v>37</v>
      </c>
      <c r="D15" s="6" t="s">
        <v>38</v>
      </c>
      <c r="E15" s="16" t="s">
        <v>66</v>
      </c>
    </row>
    <row r="16" spans="1:5" ht="42">
      <c r="A16" s="14">
        <v>15</v>
      </c>
      <c r="B16" s="4" t="s">
        <v>5</v>
      </c>
      <c r="C16" s="5" t="s">
        <v>39</v>
      </c>
      <c r="D16" s="6" t="s">
        <v>40</v>
      </c>
      <c r="E16" s="16" t="s">
        <v>67</v>
      </c>
    </row>
    <row r="17" spans="1:5" ht="42">
      <c r="A17" s="14">
        <v>16</v>
      </c>
      <c r="B17" s="4" t="s">
        <v>5</v>
      </c>
      <c r="C17" s="5" t="s">
        <v>41</v>
      </c>
      <c r="D17" s="6" t="s">
        <v>68</v>
      </c>
      <c r="E17" s="16" t="s">
        <v>42</v>
      </c>
    </row>
    <row r="18" spans="1:5" ht="42">
      <c r="A18" s="14">
        <v>17</v>
      </c>
      <c r="B18" s="4" t="s">
        <v>5</v>
      </c>
      <c r="C18" s="5" t="s">
        <v>69</v>
      </c>
      <c r="D18" s="6" t="s">
        <v>70</v>
      </c>
      <c r="E18" s="16" t="s">
        <v>71</v>
      </c>
    </row>
    <row r="19" spans="1:5" ht="42">
      <c r="A19" s="14">
        <v>18</v>
      </c>
      <c r="B19" s="4" t="s">
        <v>5</v>
      </c>
      <c r="C19" s="5" t="s">
        <v>72</v>
      </c>
      <c r="D19" s="6" t="s">
        <v>73</v>
      </c>
      <c r="E19" s="16" t="s">
        <v>74</v>
      </c>
    </row>
    <row r="20" spans="1:5" ht="42">
      <c r="A20" s="14">
        <v>19</v>
      </c>
      <c r="B20" s="4" t="s">
        <v>5</v>
      </c>
      <c r="C20" s="5" t="s">
        <v>43</v>
      </c>
      <c r="D20" s="6" t="s">
        <v>44</v>
      </c>
      <c r="E20" s="16" t="s">
        <v>75</v>
      </c>
    </row>
    <row r="21" spans="1:5" ht="42">
      <c r="A21" s="14">
        <v>20</v>
      </c>
      <c r="B21" s="4" t="s">
        <v>5</v>
      </c>
      <c r="C21" s="5" t="s">
        <v>76</v>
      </c>
      <c r="D21" s="6" t="s">
        <v>77</v>
      </c>
      <c r="E21" s="16" t="s">
        <v>78</v>
      </c>
    </row>
    <row r="22" spans="1:5" ht="42">
      <c r="A22" s="14">
        <v>21</v>
      </c>
      <c r="B22" s="7" t="s">
        <v>45</v>
      </c>
      <c r="C22" s="5" t="s">
        <v>46</v>
      </c>
      <c r="D22" s="6" t="s">
        <v>47</v>
      </c>
      <c r="E22" s="16" t="s">
        <v>79</v>
      </c>
    </row>
    <row r="23" spans="1:5" ht="42">
      <c r="A23" s="14">
        <v>22</v>
      </c>
      <c r="B23" s="7" t="s">
        <v>45</v>
      </c>
      <c r="C23" s="5" t="s">
        <v>80</v>
      </c>
      <c r="D23" s="6" t="s">
        <v>48</v>
      </c>
      <c r="E23" s="16" t="s">
        <v>49</v>
      </c>
    </row>
    <row r="24" spans="1:5" ht="42">
      <c r="A24" s="14">
        <v>23</v>
      </c>
      <c r="B24" s="7" t="s">
        <v>45</v>
      </c>
      <c r="C24" s="5" t="s">
        <v>50</v>
      </c>
      <c r="D24" s="6" t="s">
        <v>81</v>
      </c>
      <c r="E24" s="16" t="s">
        <v>82</v>
      </c>
    </row>
    <row r="25" spans="1:5" ht="42">
      <c r="A25" s="14">
        <v>24</v>
      </c>
      <c r="B25" s="7" t="s">
        <v>45</v>
      </c>
      <c r="C25" s="5" t="s">
        <v>51</v>
      </c>
      <c r="D25" s="6" t="s">
        <v>52</v>
      </c>
      <c r="E25" s="16" t="s">
        <v>53</v>
      </c>
    </row>
    <row r="26" spans="1:5" ht="42">
      <c r="A26" s="14">
        <v>25</v>
      </c>
      <c r="B26" s="7" t="s">
        <v>45</v>
      </c>
      <c r="C26" s="5" t="s">
        <v>54</v>
      </c>
      <c r="D26" s="6" t="s">
        <v>55</v>
      </c>
      <c r="E26" s="16" t="s">
        <v>56</v>
      </c>
    </row>
    <row r="27" spans="1:5" ht="42">
      <c r="A27" s="14">
        <v>26</v>
      </c>
      <c r="B27" s="7" t="s">
        <v>45</v>
      </c>
      <c r="C27" s="5" t="s">
        <v>57</v>
      </c>
      <c r="D27" s="6" t="s">
        <v>83</v>
      </c>
      <c r="E27" s="16" t="s">
        <v>188</v>
      </c>
    </row>
    <row r="28" spans="1:5" ht="42">
      <c r="A28" s="14">
        <v>27</v>
      </c>
      <c r="B28" s="7" t="s">
        <v>45</v>
      </c>
      <c r="C28" s="5" t="s">
        <v>84</v>
      </c>
      <c r="D28" s="6" t="s">
        <v>85</v>
      </c>
      <c r="E28" s="16" t="e" cm="1">
        <f t="array" aca="1" ref="E28" ca="1">SEQUENCE(5,3,1,1) を入力。スピル機能で5行X3列に連続数値が自動展開。</f>
        <v>#NAME?</v>
      </c>
    </row>
    <row r="29" spans="1:5" ht="42">
      <c r="A29" s="14">
        <v>28</v>
      </c>
      <c r="B29" s="7" t="s">
        <v>45</v>
      </c>
      <c r="C29" s="5" t="s">
        <v>86</v>
      </c>
      <c r="D29" s="6" t="s">
        <v>87</v>
      </c>
      <c r="E29" s="16" t="s">
        <v>88</v>
      </c>
    </row>
    <row r="30" spans="1:5" ht="42">
      <c r="A30" s="14">
        <v>29</v>
      </c>
      <c r="B30" s="7" t="s">
        <v>45</v>
      </c>
      <c r="C30" s="5" t="s">
        <v>89</v>
      </c>
      <c r="D30" s="6" t="s">
        <v>90</v>
      </c>
      <c r="E30" s="16" t="s">
        <v>91</v>
      </c>
    </row>
    <row r="31" spans="1:5" ht="42">
      <c r="A31" s="14">
        <v>30</v>
      </c>
      <c r="B31" s="7" t="s">
        <v>45</v>
      </c>
      <c r="C31" s="5" t="s">
        <v>92</v>
      </c>
      <c r="D31" s="6" t="s">
        <v>93</v>
      </c>
      <c r="E31" s="16" t="s">
        <v>94</v>
      </c>
    </row>
    <row r="32" spans="1:5" ht="42">
      <c r="A32" s="14">
        <v>31</v>
      </c>
      <c r="B32" s="7" t="s">
        <v>45</v>
      </c>
      <c r="C32" s="5" t="s">
        <v>95</v>
      </c>
      <c r="D32" s="6" t="s">
        <v>96</v>
      </c>
      <c r="E32" s="16" t="s">
        <v>97</v>
      </c>
    </row>
    <row r="33" spans="1:5" ht="42">
      <c r="A33" s="14">
        <v>32</v>
      </c>
      <c r="B33" s="7" t="s">
        <v>45</v>
      </c>
      <c r="C33" s="5" t="s">
        <v>98</v>
      </c>
      <c r="D33" s="6" t="s">
        <v>99</v>
      </c>
      <c r="E33" s="16" t="s">
        <v>100</v>
      </c>
    </row>
    <row r="34" spans="1:5" ht="42">
      <c r="A34" s="14">
        <v>33</v>
      </c>
      <c r="B34" s="7" t="s">
        <v>45</v>
      </c>
      <c r="C34" s="5" t="s">
        <v>101</v>
      </c>
      <c r="D34" s="6" t="s">
        <v>102</v>
      </c>
      <c r="E34" s="16" t="s">
        <v>103</v>
      </c>
    </row>
    <row r="35" spans="1:5" ht="42">
      <c r="A35" s="14">
        <v>34</v>
      </c>
      <c r="B35" s="7" t="s">
        <v>45</v>
      </c>
      <c r="C35" s="5" t="s">
        <v>104</v>
      </c>
      <c r="D35" s="6" t="s">
        <v>105</v>
      </c>
      <c r="E35" s="16" t="s">
        <v>106</v>
      </c>
    </row>
    <row r="36" spans="1:5" ht="42">
      <c r="A36" s="14">
        <v>35</v>
      </c>
      <c r="B36" s="7" t="s">
        <v>45</v>
      </c>
      <c r="C36" s="5" t="s">
        <v>107</v>
      </c>
      <c r="D36" s="6" t="s">
        <v>108</v>
      </c>
      <c r="E36" s="16" t="s">
        <v>109</v>
      </c>
    </row>
    <row r="37" spans="1:5" ht="42">
      <c r="A37" s="14">
        <v>36</v>
      </c>
      <c r="B37" s="8" t="s">
        <v>110</v>
      </c>
      <c r="C37" s="5" t="s">
        <v>111</v>
      </c>
      <c r="D37" s="6" t="s">
        <v>112</v>
      </c>
      <c r="E37" s="16" t="s">
        <v>113</v>
      </c>
    </row>
    <row r="38" spans="1:5" ht="42">
      <c r="A38" s="14">
        <v>37</v>
      </c>
      <c r="B38" s="8" t="s">
        <v>110</v>
      </c>
      <c r="C38" s="5" t="s">
        <v>114</v>
      </c>
      <c r="D38" s="6" t="s">
        <v>115</v>
      </c>
      <c r="E38" s="16" t="s">
        <v>116</v>
      </c>
    </row>
    <row r="39" spans="1:5" ht="42">
      <c r="A39" s="14">
        <v>38</v>
      </c>
      <c r="B39" s="8" t="s">
        <v>110</v>
      </c>
      <c r="C39" s="5" t="s">
        <v>117</v>
      </c>
      <c r="D39" s="6" t="s">
        <v>118</v>
      </c>
      <c r="E39" s="16" t="s">
        <v>119</v>
      </c>
    </row>
    <row r="40" spans="1:5" ht="42">
      <c r="A40" s="14">
        <v>39</v>
      </c>
      <c r="B40" s="8" t="s">
        <v>110</v>
      </c>
      <c r="C40" s="5" t="s">
        <v>120</v>
      </c>
      <c r="D40" s="6" t="s">
        <v>121</v>
      </c>
      <c r="E40" s="16" t="s">
        <v>122</v>
      </c>
    </row>
    <row r="41" spans="1:5" ht="42">
      <c r="A41" s="14">
        <v>40</v>
      </c>
      <c r="B41" s="8" t="s">
        <v>110</v>
      </c>
      <c r="C41" s="5" t="s">
        <v>123</v>
      </c>
      <c r="D41" s="6" t="s">
        <v>124</v>
      </c>
      <c r="E41" s="16" t="s">
        <v>125</v>
      </c>
    </row>
    <row r="42" spans="1:5" ht="42">
      <c r="A42" s="14">
        <v>41</v>
      </c>
      <c r="B42" s="8" t="s">
        <v>110</v>
      </c>
      <c r="C42" s="5" t="s">
        <v>126</v>
      </c>
      <c r="D42" s="6" t="s">
        <v>127</v>
      </c>
      <c r="E42" s="16" t="s">
        <v>128</v>
      </c>
    </row>
    <row r="43" spans="1:5" ht="42">
      <c r="A43" s="14">
        <v>42</v>
      </c>
      <c r="B43" s="8" t="s">
        <v>110</v>
      </c>
      <c r="C43" s="5" t="s">
        <v>129</v>
      </c>
      <c r="D43" s="6" t="s">
        <v>130</v>
      </c>
      <c r="E43" s="16" t="s">
        <v>131</v>
      </c>
    </row>
    <row r="44" spans="1:5" ht="42">
      <c r="A44" s="14">
        <v>43</v>
      </c>
      <c r="B44" s="8" t="s">
        <v>110</v>
      </c>
      <c r="C44" s="5" t="s">
        <v>132</v>
      </c>
      <c r="D44" s="6" t="s">
        <v>133</v>
      </c>
      <c r="E44" s="16" t="s">
        <v>134</v>
      </c>
    </row>
    <row r="45" spans="1:5" ht="42">
      <c r="A45" s="14">
        <v>44</v>
      </c>
      <c r="B45" s="9" t="s">
        <v>135</v>
      </c>
      <c r="C45" s="5" t="s">
        <v>140</v>
      </c>
      <c r="D45" s="6" t="s">
        <v>138</v>
      </c>
      <c r="E45" s="16" t="s">
        <v>139</v>
      </c>
    </row>
    <row r="46" spans="1:5" ht="42">
      <c r="A46" s="14">
        <v>45</v>
      </c>
      <c r="B46" s="9" t="s">
        <v>135</v>
      </c>
      <c r="C46" s="5" t="s">
        <v>136</v>
      </c>
      <c r="D46" s="6" t="s">
        <v>137</v>
      </c>
      <c r="E46" s="16" t="s">
        <v>141</v>
      </c>
    </row>
    <row r="47" spans="1:5" ht="42">
      <c r="A47" s="14">
        <v>46</v>
      </c>
      <c r="B47" s="9" t="s">
        <v>135</v>
      </c>
      <c r="C47" s="5" t="s">
        <v>142</v>
      </c>
      <c r="D47" s="6" t="s">
        <v>143</v>
      </c>
      <c r="E47" s="16" t="s">
        <v>144</v>
      </c>
    </row>
    <row r="48" spans="1:5" ht="42">
      <c r="A48" s="14">
        <v>47</v>
      </c>
      <c r="B48" s="9" t="s">
        <v>135</v>
      </c>
      <c r="C48" s="5" t="s">
        <v>145</v>
      </c>
      <c r="D48" s="6" t="s">
        <v>146</v>
      </c>
      <c r="E48" s="16" t="s">
        <v>147</v>
      </c>
    </row>
    <row r="49" spans="1:5" ht="42">
      <c r="A49" s="14">
        <v>48</v>
      </c>
      <c r="B49" s="9" t="s">
        <v>135</v>
      </c>
      <c r="C49" s="5" t="s">
        <v>148</v>
      </c>
      <c r="D49" s="6" t="s">
        <v>149</v>
      </c>
      <c r="E49" s="16" t="s">
        <v>150</v>
      </c>
    </row>
    <row r="50" spans="1:5" ht="42">
      <c r="A50" s="14">
        <v>49</v>
      </c>
      <c r="B50" s="9" t="s">
        <v>135</v>
      </c>
      <c r="C50" s="5" t="s">
        <v>151</v>
      </c>
      <c r="D50" s="6" t="s">
        <v>152</v>
      </c>
      <c r="E50" s="16" t="s">
        <v>153</v>
      </c>
    </row>
    <row r="51" spans="1:5" ht="42">
      <c r="A51" s="14">
        <v>50</v>
      </c>
      <c r="B51" s="9" t="s">
        <v>135</v>
      </c>
      <c r="C51" s="5" t="s">
        <v>154</v>
      </c>
      <c r="D51" s="6" t="s">
        <v>155</v>
      </c>
      <c r="E51" s="16" t="s">
        <v>156</v>
      </c>
    </row>
    <row r="52" spans="1:5" ht="42">
      <c r="A52" s="14">
        <v>51</v>
      </c>
      <c r="B52" s="9" t="s">
        <v>135</v>
      </c>
      <c r="C52" s="5" t="s">
        <v>157</v>
      </c>
      <c r="D52" s="6" t="s">
        <v>158</v>
      </c>
      <c r="E52" s="16" t="s">
        <v>159</v>
      </c>
    </row>
    <row r="53" spans="1:5" ht="42">
      <c r="A53" s="14">
        <v>52</v>
      </c>
      <c r="B53" s="9" t="s">
        <v>135</v>
      </c>
      <c r="C53" s="5" t="s">
        <v>160</v>
      </c>
      <c r="D53" s="6" t="s">
        <v>161</v>
      </c>
      <c r="E53" s="16" t="s">
        <v>162</v>
      </c>
    </row>
    <row r="54" spans="1:5" ht="42">
      <c r="A54" s="14">
        <v>53</v>
      </c>
      <c r="B54" s="9" t="s">
        <v>135</v>
      </c>
      <c r="C54" s="5" t="s">
        <v>163</v>
      </c>
      <c r="D54" s="6" t="s">
        <v>164</v>
      </c>
      <c r="E54" s="16" t="s">
        <v>165</v>
      </c>
    </row>
    <row r="55" spans="1:5" ht="42">
      <c r="A55" s="14">
        <v>54</v>
      </c>
      <c r="B55" s="10" t="s">
        <v>166</v>
      </c>
      <c r="C55" s="5" t="s">
        <v>167</v>
      </c>
      <c r="D55" s="6" t="s">
        <v>168</v>
      </c>
      <c r="E55" s="16" t="s">
        <v>169</v>
      </c>
    </row>
    <row r="56" spans="1:5" ht="42">
      <c r="A56" s="14">
        <v>55</v>
      </c>
      <c r="B56" s="10" t="s">
        <v>166</v>
      </c>
      <c r="C56" s="5" t="s">
        <v>170</v>
      </c>
      <c r="D56" s="6" t="s">
        <v>171</v>
      </c>
      <c r="E56" s="16" t="s">
        <v>172</v>
      </c>
    </row>
    <row r="57" spans="1:5" ht="42">
      <c r="A57" s="14">
        <v>56</v>
      </c>
      <c r="B57" s="10" t="s">
        <v>166</v>
      </c>
      <c r="C57" s="5" t="s">
        <v>173</v>
      </c>
      <c r="D57" s="6" t="s">
        <v>174</v>
      </c>
      <c r="E57" s="16" t="s">
        <v>175</v>
      </c>
    </row>
    <row r="58" spans="1:5" ht="42">
      <c r="A58" s="14">
        <v>57</v>
      </c>
      <c r="B58" s="10" t="s">
        <v>166</v>
      </c>
      <c r="C58" s="5" t="s">
        <v>176</v>
      </c>
      <c r="D58" s="6" t="s">
        <v>177</v>
      </c>
      <c r="E58" s="16" t="s">
        <v>178</v>
      </c>
    </row>
    <row r="59" spans="1:5" ht="42">
      <c r="A59" s="14">
        <v>58</v>
      </c>
      <c r="B59" s="10" t="s">
        <v>166</v>
      </c>
      <c r="C59" s="5" t="s">
        <v>179</v>
      </c>
      <c r="D59" s="6" t="s">
        <v>180</v>
      </c>
      <c r="E59" s="16" t="s">
        <v>181</v>
      </c>
    </row>
    <row r="60" spans="1:5" ht="42">
      <c r="A60" s="14">
        <v>59</v>
      </c>
      <c r="B60" s="10" t="s">
        <v>166</v>
      </c>
      <c r="C60" s="5" t="s">
        <v>182</v>
      </c>
      <c r="D60" s="6" t="s">
        <v>183</v>
      </c>
      <c r="E60" s="16" t="s">
        <v>184</v>
      </c>
    </row>
    <row r="61" spans="1:5" ht="43" thickBot="1">
      <c r="A61" s="15">
        <v>60</v>
      </c>
      <c r="B61" s="11" t="s">
        <v>166</v>
      </c>
      <c r="C61" s="12" t="s">
        <v>185</v>
      </c>
      <c r="D61" s="13" t="s">
        <v>186</v>
      </c>
      <c r="E61" s="17" t="s">
        <v>187</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323F-FCFE-3A4E-8FD2-DE10F2FB0C5A}">
  <dimension ref="A1:F61"/>
  <sheetViews>
    <sheetView workbookViewId="0">
      <pane ySplit="1" topLeftCell="A2" activePane="bottomLeft" state="frozen"/>
      <selection pane="bottomLeft"/>
    </sheetView>
  </sheetViews>
  <sheetFormatPr baseColWidth="10" defaultRowHeight="20"/>
  <cols>
    <col min="1" max="1" width="5" customWidth="1"/>
    <col min="2" max="3" width="25.7109375" customWidth="1"/>
    <col min="4" max="4" width="50" customWidth="1"/>
    <col min="5" max="5" width="71.42578125" customWidth="1"/>
    <col min="6" max="6" width="50" customWidth="1"/>
  </cols>
  <sheetData>
    <row r="1" spans="1:6">
      <c r="A1" s="31" t="s">
        <v>0</v>
      </c>
      <c r="B1" s="31" t="s">
        <v>1</v>
      </c>
      <c r="C1" s="31" t="s">
        <v>2</v>
      </c>
      <c r="D1" s="31" t="s">
        <v>253</v>
      </c>
      <c r="E1" s="31" t="s">
        <v>254</v>
      </c>
      <c r="F1" s="31" t="s">
        <v>255</v>
      </c>
    </row>
    <row r="2" spans="1:6" ht="168">
      <c r="A2" s="32" t="s">
        <v>190</v>
      </c>
      <c r="B2" s="32" t="s">
        <v>5</v>
      </c>
      <c r="C2" s="32" t="s">
        <v>58</v>
      </c>
      <c r="D2" s="32" t="s">
        <v>6</v>
      </c>
      <c r="E2" s="32" t="s">
        <v>256</v>
      </c>
      <c r="F2" s="32" t="s">
        <v>257</v>
      </c>
    </row>
    <row r="3" spans="1:6" ht="147">
      <c r="A3" s="32" t="s">
        <v>193</v>
      </c>
      <c r="B3" s="32" t="s">
        <v>5</v>
      </c>
      <c r="C3" s="32" t="s">
        <v>60</v>
      </c>
      <c r="D3" s="32" t="s">
        <v>7</v>
      </c>
      <c r="E3" s="32" t="s">
        <v>258</v>
      </c>
      <c r="F3" s="32" t="s">
        <v>259</v>
      </c>
    </row>
    <row r="4" spans="1:6" ht="147">
      <c r="A4" s="32" t="s">
        <v>194</v>
      </c>
      <c r="B4" s="32" t="s">
        <v>5</v>
      </c>
      <c r="C4" s="32" t="s">
        <v>61</v>
      </c>
      <c r="D4" s="32" t="s">
        <v>9</v>
      </c>
      <c r="E4" s="32" t="s">
        <v>260</v>
      </c>
      <c r="F4" s="32" t="s">
        <v>261</v>
      </c>
    </row>
    <row r="5" spans="1:6" ht="147">
      <c r="A5" s="32" t="s">
        <v>195</v>
      </c>
      <c r="B5" s="32" t="s">
        <v>5</v>
      </c>
      <c r="C5" s="32" t="s">
        <v>11</v>
      </c>
      <c r="D5" s="32" t="s">
        <v>12</v>
      </c>
      <c r="E5" s="32" t="s">
        <v>262</v>
      </c>
      <c r="F5" s="32" t="s">
        <v>263</v>
      </c>
    </row>
    <row r="6" spans="1:6" ht="147">
      <c r="A6" s="32" t="s">
        <v>196</v>
      </c>
      <c r="B6" s="32" t="s">
        <v>5</v>
      </c>
      <c r="C6" s="32" t="s">
        <v>62</v>
      </c>
      <c r="D6" s="32" t="s">
        <v>14</v>
      </c>
      <c r="E6" s="32" t="s">
        <v>264</v>
      </c>
      <c r="F6" s="32" t="s">
        <v>265</v>
      </c>
    </row>
    <row r="7" spans="1:6" ht="63">
      <c r="A7" s="32" t="s">
        <v>197</v>
      </c>
      <c r="B7" s="32" t="s">
        <v>5</v>
      </c>
      <c r="C7" s="32" t="s">
        <v>16</v>
      </c>
      <c r="D7" s="32" t="s">
        <v>17</v>
      </c>
      <c r="E7" s="32" t="s">
        <v>266</v>
      </c>
      <c r="F7" s="32" t="s">
        <v>267</v>
      </c>
    </row>
    <row r="8" spans="1:6" ht="126">
      <c r="A8" s="32" t="s">
        <v>198</v>
      </c>
      <c r="B8" s="32" t="s">
        <v>5</v>
      </c>
      <c r="C8" s="32" t="s">
        <v>19</v>
      </c>
      <c r="D8" s="32" t="s">
        <v>20</v>
      </c>
      <c r="E8" s="32" t="s">
        <v>268</v>
      </c>
      <c r="F8" s="32" t="s">
        <v>269</v>
      </c>
    </row>
    <row r="9" spans="1:6" ht="126">
      <c r="A9" s="32" t="s">
        <v>199</v>
      </c>
      <c r="B9" s="32" t="s">
        <v>5</v>
      </c>
      <c r="C9" s="32" t="s">
        <v>22</v>
      </c>
      <c r="D9" s="32" t="s">
        <v>23</v>
      </c>
      <c r="E9" s="32" t="s">
        <v>270</v>
      </c>
      <c r="F9" s="32" t="s">
        <v>271</v>
      </c>
    </row>
    <row r="10" spans="1:6" ht="168">
      <c r="A10" s="32" t="s">
        <v>200</v>
      </c>
      <c r="B10" s="32" t="s">
        <v>5</v>
      </c>
      <c r="C10" s="32" t="s">
        <v>25</v>
      </c>
      <c r="D10" s="32" t="s">
        <v>26</v>
      </c>
      <c r="E10" s="32" t="s">
        <v>272</v>
      </c>
      <c r="F10" s="32" t="s">
        <v>273</v>
      </c>
    </row>
    <row r="11" spans="1:6" ht="168">
      <c r="A11" s="32" t="s">
        <v>201</v>
      </c>
      <c r="B11" s="32" t="s">
        <v>5</v>
      </c>
      <c r="C11" s="32" t="s">
        <v>28</v>
      </c>
      <c r="D11" s="32" t="s">
        <v>29</v>
      </c>
      <c r="E11" s="32" t="s">
        <v>274</v>
      </c>
      <c r="F11" s="32" t="s">
        <v>275</v>
      </c>
    </row>
    <row r="12" spans="1:6" ht="105">
      <c r="A12" s="32" t="s">
        <v>202</v>
      </c>
      <c r="B12" s="32" t="s">
        <v>5</v>
      </c>
      <c r="C12" s="32" t="s">
        <v>31</v>
      </c>
      <c r="D12" s="32" t="s">
        <v>32</v>
      </c>
      <c r="E12" s="32" t="s">
        <v>276</v>
      </c>
      <c r="F12" s="32" t="s">
        <v>277</v>
      </c>
    </row>
    <row r="13" spans="1:6" ht="84">
      <c r="A13" s="32" t="s">
        <v>203</v>
      </c>
      <c r="B13" s="32" t="s">
        <v>5</v>
      </c>
      <c r="C13" s="32" t="s">
        <v>33</v>
      </c>
      <c r="D13" s="32" t="s">
        <v>64</v>
      </c>
      <c r="E13" s="32" t="s">
        <v>278</v>
      </c>
      <c r="F13" s="32" t="s">
        <v>279</v>
      </c>
    </row>
    <row r="14" spans="1:6" ht="126">
      <c r="A14" s="32" t="s">
        <v>204</v>
      </c>
      <c r="B14" s="32" t="s">
        <v>5</v>
      </c>
      <c r="C14" s="32" t="s">
        <v>34</v>
      </c>
      <c r="D14" s="32" t="s">
        <v>35</v>
      </c>
      <c r="E14" s="32" t="s">
        <v>280</v>
      </c>
      <c r="F14" s="32" t="s">
        <v>281</v>
      </c>
    </row>
    <row r="15" spans="1:6" ht="105">
      <c r="A15" s="32" t="s">
        <v>205</v>
      </c>
      <c r="B15" s="32" t="s">
        <v>5</v>
      </c>
      <c r="C15" s="32" t="s">
        <v>37</v>
      </c>
      <c r="D15" s="32" t="s">
        <v>38</v>
      </c>
      <c r="E15" s="32" t="s">
        <v>282</v>
      </c>
      <c r="F15" s="32" t="s">
        <v>283</v>
      </c>
    </row>
    <row r="16" spans="1:6" ht="147">
      <c r="A16" s="32" t="s">
        <v>206</v>
      </c>
      <c r="B16" s="32" t="s">
        <v>5</v>
      </c>
      <c r="C16" s="32" t="s">
        <v>39</v>
      </c>
      <c r="D16" s="32" t="s">
        <v>40</v>
      </c>
      <c r="E16" s="32" t="s">
        <v>284</v>
      </c>
      <c r="F16" s="32" t="s">
        <v>285</v>
      </c>
    </row>
    <row r="17" spans="1:6" ht="126">
      <c r="A17" s="32" t="s">
        <v>207</v>
      </c>
      <c r="B17" s="32" t="s">
        <v>5</v>
      </c>
      <c r="C17" s="32" t="s">
        <v>41</v>
      </c>
      <c r="D17" s="32" t="s">
        <v>68</v>
      </c>
      <c r="E17" s="32" t="s">
        <v>317</v>
      </c>
      <c r="F17" s="32" t="s">
        <v>318</v>
      </c>
    </row>
    <row r="18" spans="1:6" ht="147">
      <c r="A18" s="32" t="s">
        <v>208</v>
      </c>
      <c r="B18" s="32" t="s">
        <v>5</v>
      </c>
      <c r="C18" s="32" t="s">
        <v>69</v>
      </c>
      <c r="D18" s="32" t="s">
        <v>70</v>
      </c>
      <c r="E18" s="32" t="s">
        <v>320</v>
      </c>
      <c r="F18" s="32" t="s">
        <v>321</v>
      </c>
    </row>
    <row r="19" spans="1:6" ht="147">
      <c r="A19" s="32" t="s">
        <v>209</v>
      </c>
      <c r="B19" s="32" t="s">
        <v>5</v>
      </c>
      <c r="C19" s="32" t="s">
        <v>72</v>
      </c>
      <c r="D19" s="32" t="s">
        <v>73</v>
      </c>
      <c r="E19" s="32" t="s">
        <v>324</v>
      </c>
      <c r="F19" s="32" t="s">
        <v>325</v>
      </c>
    </row>
    <row r="20" spans="1:6" ht="126">
      <c r="A20" s="32" t="s">
        <v>210</v>
      </c>
      <c r="B20" s="32" t="s">
        <v>5</v>
      </c>
      <c r="C20" s="32" t="s">
        <v>43</v>
      </c>
      <c r="D20" s="32" t="s">
        <v>44</v>
      </c>
      <c r="E20" s="32" t="s">
        <v>328</v>
      </c>
      <c r="F20" s="32" t="s">
        <v>329</v>
      </c>
    </row>
    <row r="21" spans="1:6" ht="168">
      <c r="A21" s="32" t="s">
        <v>211</v>
      </c>
      <c r="B21" s="32" t="s">
        <v>5</v>
      </c>
      <c r="C21" s="32" t="s">
        <v>76</v>
      </c>
      <c r="D21" s="32" t="s">
        <v>331</v>
      </c>
      <c r="E21" s="32" t="s">
        <v>332</v>
      </c>
      <c r="F21" s="32" t="s">
        <v>333</v>
      </c>
    </row>
    <row r="22" spans="1:6" ht="147">
      <c r="A22" s="32" t="s">
        <v>212</v>
      </c>
      <c r="B22" s="32" t="s">
        <v>45</v>
      </c>
      <c r="C22" s="32" t="s">
        <v>46</v>
      </c>
      <c r="D22" s="32" t="s">
        <v>47</v>
      </c>
      <c r="E22" s="32" t="s">
        <v>336</v>
      </c>
      <c r="F22" s="32" t="s">
        <v>337</v>
      </c>
    </row>
    <row r="23" spans="1:6" ht="147">
      <c r="A23" s="32" t="s">
        <v>213</v>
      </c>
      <c r="B23" s="32" t="s">
        <v>45</v>
      </c>
      <c r="C23" s="32" t="s">
        <v>80</v>
      </c>
      <c r="D23" s="32" t="s">
        <v>48</v>
      </c>
      <c r="E23" s="32" t="s">
        <v>340</v>
      </c>
      <c r="F23" s="32" t="s">
        <v>341</v>
      </c>
    </row>
    <row r="24" spans="1:6" ht="147">
      <c r="A24" s="32" t="s">
        <v>214</v>
      </c>
      <c r="B24" s="32" t="s">
        <v>45</v>
      </c>
      <c r="C24" s="32" t="s">
        <v>50</v>
      </c>
      <c r="D24" s="32" t="s">
        <v>81</v>
      </c>
      <c r="E24" s="32" t="s">
        <v>344</v>
      </c>
      <c r="F24" s="32" t="s">
        <v>345</v>
      </c>
    </row>
    <row r="25" spans="1:6" ht="126">
      <c r="A25" s="32" t="s">
        <v>215</v>
      </c>
      <c r="B25" s="32" t="s">
        <v>45</v>
      </c>
      <c r="C25" s="32" t="s">
        <v>51</v>
      </c>
      <c r="D25" s="32" t="s">
        <v>52</v>
      </c>
      <c r="E25" s="32" t="s">
        <v>348</v>
      </c>
      <c r="F25" s="32" t="s">
        <v>349</v>
      </c>
    </row>
    <row r="26" spans="1:6" ht="105">
      <c r="A26" s="32" t="s">
        <v>216</v>
      </c>
      <c r="B26" s="32" t="s">
        <v>45</v>
      </c>
      <c r="C26" s="32" t="s">
        <v>54</v>
      </c>
      <c r="D26" s="32" t="s">
        <v>55</v>
      </c>
      <c r="E26" s="32" t="s">
        <v>352</v>
      </c>
      <c r="F26" s="32" t="s">
        <v>353</v>
      </c>
    </row>
    <row r="27" spans="1:6" ht="84">
      <c r="A27" s="32" t="s">
        <v>217</v>
      </c>
      <c r="B27" s="32" t="s">
        <v>45</v>
      </c>
      <c r="C27" s="32" t="s">
        <v>57</v>
      </c>
      <c r="D27" s="32" t="s">
        <v>83</v>
      </c>
      <c r="E27" s="32" t="s">
        <v>362</v>
      </c>
      <c r="F27" s="32" t="s">
        <v>361</v>
      </c>
    </row>
    <row r="28" spans="1:6" ht="105">
      <c r="A28" s="32" t="s">
        <v>218</v>
      </c>
      <c r="B28" s="32" t="s">
        <v>45</v>
      </c>
      <c r="C28" s="32" t="s">
        <v>84</v>
      </c>
      <c r="D28" s="32" t="s">
        <v>85</v>
      </c>
      <c r="E28" s="32" t="s">
        <v>365</v>
      </c>
      <c r="F28" s="32" t="s">
        <v>366</v>
      </c>
    </row>
    <row r="29" spans="1:6" ht="126">
      <c r="A29" s="32" t="s">
        <v>219</v>
      </c>
      <c r="B29" s="32" t="s">
        <v>45</v>
      </c>
      <c r="C29" s="32" t="s">
        <v>86</v>
      </c>
      <c r="D29" s="32" t="s">
        <v>87</v>
      </c>
      <c r="E29" s="32" t="s">
        <v>369</v>
      </c>
      <c r="F29" s="32" t="s">
        <v>370</v>
      </c>
    </row>
    <row r="30" spans="1:6" ht="105">
      <c r="A30" s="32" t="s">
        <v>220</v>
      </c>
      <c r="B30" s="32" t="s">
        <v>45</v>
      </c>
      <c r="C30" s="32" t="s">
        <v>89</v>
      </c>
      <c r="D30" s="32" t="s">
        <v>90</v>
      </c>
      <c r="E30" s="32" t="s">
        <v>373</v>
      </c>
      <c r="F30" s="32" t="s">
        <v>374</v>
      </c>
    </row>
    <row r="31" spans="1:6" ht="126">
      <c r="A31" s="32" t="s">
        <v>221</v>
      </c>
      <c r="B31" s="32" t="s">
        <v>45</v>
      </c>
      <c r="C31" s="32" t="s">
        <v>92</v>
      </c>
      <c r="D31" s="32" t="s">
        <v>93</v>
      </c>
      <c r="E31" s="32" t="s">
        <v>377</v>
      </c>
      <c r="F31" s="32" t="s">
        <v>378</v>
      </c>
    </row>
    <row r="32" spans="1:6" ht="126">
      <c r="A32" s="32" t="s">
        <v>222</v>
      </c>
      <c r="B32" s="32" t="s">
        <v>45</v>
      </c>
      <c r="C32" s="32" t="s">
        <v>95</v>
      </c>
      <c r="D32" s="32" t="s">
        <v>96</v>
      </c>
      <c r="E32" s="32" t="s">
        <v>381</v>
      </c>
      <c r="F32" s="32" t="s">
        <v>382</v>
      </c>
    </row>
    <row r="33" spans="1:6" ht="126">
      <c r="A33" s="32" t="s">
        <v>223</v>
      </c>
      <c r="B33" s="32" t="s">
        <v>45</v>
      </c>
      <c r="C33" s="32" t="s">
        <v>98</v>
      </c>
      <c r="D33" s="32" t="s">
        <v>99</v>
      </c>
      <c r="E33" s="32" t="s">
        <v>385</v>
      </c>
      <c r="F33" s="32" t="s">
        <v>386</v>
      </c>
    </row>
    <row r="34" spans="1:6" ht="126">
      <c r="A34" s="32" t="s">
        <v>224</v>
      </c>
      <c r="B34" s="32" t="s">
        <v>45</v>
      </c>
      <c r="C34" s="32" t="s">
        <v>101</v>
      </c>
      <c r="D34" s="32" t="s">
        <v>102</v>
      </c>
      <c r="E34" s="32" t="s">
        <v>389</v>
      </c>
      <c r="F34" s="32" t="s">
        <v>390</v>
      </c>
    </row>
    <row r="35" spans="1:6" ht="105">
      <c r="A35" s="32" t="s">
        <v>225</v>
      </c>
      <c r="B35" s="32" t="s">
        <v>45</v>
      </c>
      <c r="C35" s="32" t="s">
        <v>104</v>
      </c>
      <c r="D35" s="32" t="s">
        <v>105</v>
      </c>
      <c r="E35" s="32" t="s">
        <v>392</v>
      </c>
      <c r="F35" s="32" t="s">
        <v>393</v>
      </c>
    </row>
    <row r="36" spans="1:6" ht="147">
      <c r="A36" s="32" t="s">
        <v>226</v>
      </c>
      <c r="B36" s="32" t="s">
        <v>45</v>
      </c>
      <c r="C36" s="32" t="s">
        <v>107</v>
      </c>
      <c r="D36" s="32" t="s">
        <v>108</v>
      </c>
      <c r="E36" s="32" t="s">
        <v>395</v>
      </c>
      <c r="F36" s="32" t="s">
        <v>396</v>
      </c>
    </row>
    <row r="37" spans="1:6" ht="126">
      <c r="A37" s="32" t="s">
        <v>227</v>
      </c>
      <c r="B37" s="32" t="s">
        <v>110</v>
      </c>
      <c r="C37" s="32" t="s">
        <v>111</v>
      </c>
      <c r="D37" s="32" t="s">
        <v>112</v>
      </c>
      <c r="E37" s="32" t="s">
        <v>398</v>
      </c>
      <c r="F37" s="32" t="s">
        <v>399</v>
      </c>
    </row>
    <row r="38" spans="1:6" ht="105">
      <c r="A38" s="32" t="s">
        <v>228</v>
      </c>
      <c r="B38" s="32" t="s">
        <v>110</v>
      </c>
      <c r="C38" s="32" t="s">
        <v>114</v>
      </c>
      <c r="D38" s="32" t="s">
        <v>115</v>
      </c>
      <c r="E38" s="32" t="s">
        <v>402</v>
      </c>
      <c r="F38" s="32" t="s">
        <v>403</v>
      </c>
    </row>
    <row r="39" spans="1:6" ht="105">
      <c r="A39" s="32" t="s">
        <v>229</v>
      </c>
      <c r="B39" s="32" t="s">
        <v>110</v>
      </c>
      <c r="C39" s="32" t="s">
        <v>117</v>
      </c>
      <c r="D39" s="32" t="s">
        <v>118</v>
      </c>
      <c r="E39" s="32" t="s">
        <v>405</v>
      </c>
      <c r="F39" s="32" t="s">
        <v>406</v>
      </c>
    </row>
    <row r="40" spans="1:6" ht="126">
      <c r="A40" s="32" t="s">
        <v>230</v>
      </c>
      <c r="B40" s="32" t="s">
        <v>110</v>
      </c>
      <c r="C40" s="32" t="s">
        <v>120</v>
      </c>
      <c r="D40" s="32" t="s">
        <v>121</v>
      </c>
      <c r="E40" s="32" t="s">
        <v>408</v>
      </c>
      <c r="F40" s="32" t="s">
        <v>409</v>
      </c>
    </row>
    <row r="41" spans="1:6" ht="126">
      <c r="A41" s="32" t="s">
        <v>231</v>
      </c>
      <c r="B41" s="32" t="s">
        <v>110</v>
      </c>
      <c r="C41" s="32" t="s">
        <v>123</v>
      </c>
      <c r="D41" s="32" t="s">
        <v>124</v>
      </c>
      <c r="E41" s="32" t="s">
        <v>412</v>
      </c>
      <c r="F41" s="32" t="s">
        <v>413</v>
      </c>
    </row>
    <row r="42" spans="1:6" ht="147">
      <c r="A42" s="32" t="s">
        <v>232</v>
      </c>
      <c r="B42" s="32" t="s">
        <v>110</v>
      </c>
      <c r="C42" s="32" t="s">
        <v>126</v>
      </c>
      <c r="D42" s="32" t="s">
        <v>127</v>
      </c>
      <c r="E42" s="32" t="s">
        <v>415</v>
      </c>
      <c r="F42" s="32" t="s">
        <v>416</v>
      </c>
    </row>
    <row r="43" spans="1:6" ht="126">
      <c r="A43" s="32" t="s">
        <v>233</v>
      </c>
      <c r="B43" s="32" t="s">
        <v>110</v>
      </c>
      <c r="C43" s="32" t="s">
        <v>129</v>
      </c>
      <c r="D43" s="32" t="s">
        <v>130</v>
      </c>
      <c r="E43" s="32" t="s">
        <v>419</v>
      </c>
      <c r="F43" s="32" t="s">
        <v>420</v>
      </c>
    </row>
    <row r="44" spans="1:6" ht="147">
      <c r="A44" s="32" t="s">
        <v>234</v>
      </c>
      <c r="B44" s="32" t="s">
        <v>110</v>
      </c>
      <c r="C44" s="32" t="s">
        <v>132</v>
      </c>
      <c r="D44" s="32" t="s">
        <v>133</v>
      </c>
      <c r="E44" s="32" t="s">
        <v>423</v>
      </c>
      <c r="F44" s="32" t="s">
        <v>424</v>
      </c>
    </row>
    <row r="45" spans="1:6" ht="126">
      <c r="A45" s="32" t="s">
        <v>235</v>
      </c>
      <c r="B45" s="32" t="s">
        <v>135</v>
      </c>
      <c r="C45" s="32" t="s">
        <v>140</v>
      </c>
      <c r="D45" s="32" t="s">
        <v>138</v>
      </c>
      <c r="E45" s="32" t="s">
        <v>427</v>
      </c>
      <c r="F45" s="32" t="s">
        <v>429</v>
      </c>
    </row>
    <row r="46" spans="1:6" ht="84">
      <c r="A46" s="32" t="s">
        <v>236</v>
      </c>
      <c r="B46" s="32" t="s">
        <v>135</v>
      </c>
      <c r="C46" s="32" t="s">
        <v>136</v>
      </c>
      <c r="D46" s="32" t="s">
        <v>137</v>
      </c>
      <c r="E46" s="32" t="s">
        <v>431</v>
      </c>
      <c r="F46" s="32" t="s">
        <v>432</v>
      </c>
    </row>
    <row r="47" spans="1:6" ht="126">
      <c r="A47" s="32" t="s">
        <v>237</v>
      </c>
      <c r="B47" s="32" t="s">
        <v>135</v>
      </c>
      <c r="C47" s="32" t="s">
        <v>142</v>
      </c>
      <c r="D47" s="32" t="s">
        <v>143</v>
      </c>
      <c r="E47" s="32" t="s">
        <v>434</v>
      </c>
      <c r="F47" s="32" t="s">
        <v>435</v>
      </c>
    </row>
    <row r="48" spans="1:6" ht="105">
      <c r="A48" s="32" t="s">
        <v>238</v>
      </c>
      <c r="B48" s="32" t="s">
        <v>135</v>
      </c>
      <c r="C48" s="32" t="s">
        <v>145</v>
      </c>
      <c r="D48" s="32" t="s">
        <v>146</v>
      </c>
      <c r="E48" s="32" t="s">
        <v>438</v>
      </c>
      <c r="F48" s="32" t="s">
        <v>439</v>
      </c>
    </row>
    <row r="49" spans="1:6" ht="105">
      <c r="A49" s="32" t="s">
        <v>239</v>
      </c>
      <c r="B49" s="32" t="s">
        <v>135</v>
      </c>
      <c r="C49" s="32" t="s">
        <v>148</v>
      </c>
      <c r="D49" s="32" t="s">
        <v>149</v>
      </c>
      <c r="E49" s="32" t="s">
        <v>441</v>
      </c>
      <c r="F49" s="32" t="s">
        <v>442</v>
      </c>
    </row>
    <row r="50" spans="1:6" ht="105">
      <c r="A50" s="32" t="s">
        <v>240</v>
      </c>
      <c r="B50" s="32" t="s">
        <v>135</v>
      </c>
      <c r="C50" s="32" t="s">
        <v>151</v>
      </c>
      <c r="D50" s="32" t="s">
        <v>152</v>
      </c>
      <c r="E50" s="32" t="s">
        <v>444</v>
      </c>
      <c r="F50" s="32" t="s">
        <v>445</v>
      </c>
    </row>
    <row r="51" spans="1:6" ht="126">
      <c r="A51" s="32" t="s">
        <v>241</v>
      </c>
      <c r="B51" s="32" t="s">
        <v>135</v>
      </c>
      <c r="C51" s="32" t="s">
        <v>154</v>
      </c>
      <c r="D51" s="32" t="s">
        <v>155</v>
      </c>
      <c r="E51" s="32" t="s">
        <v>447</v>
      </c>
      <c r="F51" s="32" t="s">
        <v>448</v>
      </c>
    </row>
    <row r="52" spans="1:6" ht="126">
      <c r="A52" s="32" t="s">
        <v>242</v>
      </c>
      <c r="B52" s="32" t="s">
        <v>135</v>
      </c>
      <c r="C52" s="32" t="s">
        <v>157</v>
      </c>
      <c r="D52" s="32" t="s">
        <v>158</v>
      </c>
      <c r="E52" s="32" t="s">
        <v>450</v>
      </c>
      <c r="F52" s="32" t="s">
        <v>451</v>
      </c>
    </row>
    <row r="53" spans="1:6" ht="126">
      <c r="A53" s="32" t="s">
        <v>243</v>
      </c>
      <c r="B53" s="32" t="s">
        <v>135</v>
      </c>
      <c r="C53" s="32" t="s">
        <v>160</v>
      </c>
      <c r="D53" s="32" t="s">
        <v>161</v>
      </c>
      <c r="E53" s="32" t="s">
        <v>453</v>
      </c>
      <c r="F53" s="32" t="s">
        <v>454</v>
      </c>
    </row>
    <row r="54" spans="1:6" ht="105">
      <c r="A54" s="32" t="s">
        <v>244</v>
      </c>
      <c r="B54" s="32" t="s">
        <v>135</v>
      </c>
      <c r="C54" s="32" t="s">
        <v>163</v>
      </c>
      <c r="D54" s="32" t="s">
        <v>164</v>
      </c>
      <c r="E54" s="32" t="s">
        <v>456</v>
      </c>
      <c r="F54" s="32" t="s">
        <v>457</v>
      </c>
    </row>
    <row r="55" spans="1:6" ht="126">
      <c r="A55" s="32" t="s">
        <v>245</v>
      </c>
      <c r="B55" s="32" t="s">
        <v>166</v>
      </c>
      <c r="C55" s="32" t="s">
        <v>167</v>
      </c>
      <c r="D55" s="32" t="s">
        <v>168</v>
      </c>
      <c r="E55" s="32" t="s">
        <v>459</v>
      </c>
      <c r="F55" s="32" t="s">
        <v>460</v>
      </c>
    </row>
    <row r="56" spans="1:6" ht="168">
      <c r="A56" s="32" t="s">
        <v>246</v>
      </c>
      <c r="B56" s="32" t="s">
        <v>166</v>
      </c>
      <c r="C56" s="32" t="s">
        <v>170</v>
      </c>
      <c r="D56" s="32" t="s">
        <v>171</v>
      </c>
      <c r="E56" s="32" t="s">
        <v>463</v>
      </c>
      <c r="F56" s="32" t="s">
        <v>464</v>
      </c>
    </row>
    <row r="57" spans="1:6" ht="168">
      <c r="A57" s="32" t="s">
        <v>247</v>
      </c>
      <c r="B57" s="32" t="s">
        <v>166</v>
      </c>
      <c r="C57" s="32" t="s">
        <v>173</v>
      </c>
      <c r="D57" s="32" t="s">
        <v>174</v>
      </c>
      <c r="E57" s="32" t="s">
        <v>466</v>
      </c>
      <c r="F57" s="32" t="s">
        <v>467</v>
      </c>
    </row>
    <row r="58" spans="1:6" ht="168">
      <c r="A58" s="32" t="s">
        <v>248</v>
      </c>
      <c r="B58" s="32" t="s">
        <v>166</v>
      </c>
      <c r="C58" s="32" t="s">
        <v>176</v>
      </c>
      <c r="D58" s="32" t="s">
        <v>177</v>
      </c>
      <c r="E58" s="32" t="s">
        <v>469</v>
      </c>
      <c r="F58" s="32" t="s">
        <v>470</v>
      </c>
    </row>
    <row r="59" spans="1:6" ht="105">
      <c r="A59" s="32" t="s">
        <v>249</v>
      </c>
      <c r="B59" s="32" t="s">
        <v>166</v>
      </c>
      <c r="C59" s="32" t="s">
        <v>179</v>
      </c>
      <c r="D59" s="32" t="s">
        <v>180</v>
      </c>
      <c r="E59" s="32" t="s">
        <v>473</v>
      </c>
      <c r="F59" s="32" t="s">
        <v>474</v>
      </c>
    </row>
    <row r="60" spans="1:6" ht="147">
      <c r="A60" s="32" t="s">
        <v>250</v>
      </c>
      <c r="B60" s="32" t="s">
        <v>166</v>
      </c>
      <c r="C60" s="32" t="s">
        <v>182</v>
      </c>
      <c r="D60" s="32" t="s">
        <v>183</v>
      </c>
      <c r="E60" s="32" t="s">
        <v>476</v>
      </c>
      <c r="F60" s="32" t="s">
        <v>477</v>
      </c>
    </row>
    <row r="61" spans="1:6" ht="147">
      <c r="A61" s="32" t="s">
        <v>251</v>
      </c>
      <c r="B61" s="32" t="s">
        <v>166</v>
      </c>
      <c r="C61" s="32" t="s">
        <v>185</v>
      </c>
      <c r="D61" s="32" t="s">
        <v>186</v>
      </c>
      <c r="E61" s="32" t="s">
        <v>479</v>
      </c>
      <c r="F61" s="32" t="s">
        <v>480</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3A51-43F3-2A4C-B03F-2DE61B8D9EB6}">
  <dimension ref="A1:B9"/>
  <sheetViews>
    <sheetView workbookViewId="0">
      <selection activeCell="B8" sqref="B8"/>
    </sheetView>
  </sheetViews>
  <sheetFormatPr baseColWidth="10" defaultRowHeight="20"/>
  <cols>
    <col min="1" max="1" width="17.140625" customWidth="1"/>
    <col min="2" max="2" width="57.140625" customWidth="1"/>
  </cols>
  <sheetData>
    <row r="1" spans="1:2">
      <c r="A1" s="27" t="s">
        <v>189</v>
      </c>
      <c r="B1" s="26" t="s">
        <v>190</v>
      </c>
    </row>
    <row r="2" spans="1:2">
      <c r="A2" s="27" t="s">
        <v>1</v>
      </c>
      <c r="B2" s="26" t="s">
        <v>5</v>
      </c>
    </row>
    <row r="3" spans="1:2">
      <c r="A3" s="27" t="s">
        <v>2</v>
      </c>
      <c r="B3" s="26" t="s">
        <v>58</v>
      </c>
    </row>
    <row r="5" spans="1:2" ht="23">
      <c r="A5" s="28" t="s">
        <v>191</v>
      </c>
    </row>
    <row r="6" spans="1:2" ht="231">
      <c r="A6" s="1" t="s">
        <v>6</v>
      </c>
    </row>
    <row r="8" spans="1:2" ht="23">
      <c r="A8" s="29" t="s">
        <v>192</v>
      </c>
    </row>
    <row r="9" spans="1:2" ht="231">
      <c r="A9" s="1" t="s">
        <v>59</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ADAC-51F0-0B42-AF3F-A32DAB0F1BD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190</v>
      </c>
    </row>
    <row r="3" spans="1:2" ht="21">
      <c r="A3" s="32" t="s">
        <v>1</v>
      </c>
      <c r="B3" s="32" t="s">
        <v>5</v>
      </c>
    </row>
    <row r="4" spans="1:2" ht="21">
      <c r="A4" s="32" t="s">
        <v>2</v>
      </c>
      <c r="B4" s="32" t="s">
        <v>58</v>
      </c>
    </row>
    <row r="5" spans="1:2" ht="42">
      <c r="A5" s="32" t="s">
        <v>253</v>
      </c>
      <c r="B5" s="32" t="s">
        <v>6</v>
      </c>
    </row>
    <row r="6" spans="1:2" ht="168">
      <c r="A6" s="34" t="s">
        <v>288</v>
      </c>
      <c r="B6" s="34" t="s">
        <v>256</v>
      </c>
    </row>
    <row r="7" spans="1:2" ht="63">
      <c r="A7" s="35" t="s">
        <v>255</v>
      </c>
      <c r="B7" s="35" t="s">
        <v>257</v>
      </c>
    </row>
    <row r="8" spans="1:2" ht="42">
      <c r="A8" s="36" t="s">
        <v>289</v>
      </c>
      <c r="B8" s="36" t="s">
        <v>290</v>
      </c>
    </row>
    <row r="9" spans="1:2" ht="21">
      <c r="A9" s="32" t="s">
        <v>291</v>
      </c>
      <c r="B9" s="32" t="s">
        <v>292</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7AA9F-B87A-684E-98E6-F9D7E0840B56}">
  <dimension ref="A1:B9"/>
  <sheetViews>
    <sheetView workbookViewId="0"/>
  </sheetViews>
  <sheetFormatPr baseColWidth="10" defaultRowHeight="20"/>
  <cols>
    <col min="1" max="1" width="17.140625" customWidth="1"/>
    <col min="2" max="2" width="57.140625" customWidth="1"/>
  </cols>
  <sheetData>
    <row r="1" spans="1:2">
      <c r="A1" s="27" t="s">
        <v>189</v>
      </c>
      <c r="B1" s="26" t="s">
        <v>193</v>
      </c>
    </row>
    <row r="2" spans="1:2">
      <c r="A2" s="27" t="s">
        <v>1</v>
      </c>
      <c r="B2" s="26" t="s">
        <v>5</v>
      </c>
    </row>
    <row r="3" spans="1:2">
      <c r="A3" s="27" t="s">
        <v>2</v>
      </c>
      <c r="B3" s="26" t="s">
        <v>60</v>
      </c>
    </row>
    <row r="5" spans="1:2" ht="23">
      <c r="A5" s="28" t="s">
        <v>191</v>
      </c>
    </row>
    <row r="6" spans="1:2" ht="189">
      <c r="A6" s="1" t="s">
        <v>7</v>
      </c>
    </row>
    <row r="8" spans="1:2" ht="23">
      <c r="A8" s="29" t="s">
        <v>192</v>
      </c>
    </row>
    <row r="9" spans="1:2" ht="231">
      <c r="A9" s="1" t="s">
        <v>8</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A8CC-2B45-BE42-BE87-4541DF6EDC76}">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193</v>
      </c>
    </row>
    <row r="3" spans="1:2" ht="21">
      <c r="A3" s="32" t="s">
        <v>1</v>
      </c>
      <c r="B3" s="32" t="s">
        <v>5</v>
      </c>
    </row>
    <row r="4" spans="1:2" ht="21">
      <c r="A4" s="32" t="s">
        <v>2</v>
      </c>
      <c r="B4" s="32" t="s">
        <v>60</v>
      </c>
    </row>
    <row r="5" spans="1:2" ht="42">
      <c r="A5" s="32" t="s">
        <v>253</v>
      </c>
      <c r="B5" s="32" t="s">
        <v>7</v>
      </c>
    </row>
    <row r="6" spans="1:2" ht="147">
      <c r="A6" s="34" t="s">
        <v>288</v>
      </c>
      <c r="B6" s="34" t="s">
        <v>258</v>
      </c>
    </row>
    <row r="7" spans="1:2" ht="63">
      <c r="A7" s="35" t="s">
        <v>255</v>
      </c>
      <c r="B7" s="35" t="s">
        <v>259</v>
      </c>
    </row>
    <row r="8" spans="1:2" ht="21">
      <c r="A8" s="36" t="s">
        <v>289</v>
      </c>
      <c r="B8" s="36" t="s">
        <v>293</v>
      </c>
    </row>
    <row r="9" spans="1:2" ht="21">
      <c r="A9" s="32" t="s">
        <v>291</v>
      </c>
      <c r="B9" s="32" t="s">
        <v>292</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1C7F-5A75-C44B-9706-874784E8D26E}">
  <dimension ref="A1:B9"/>
  <sheetViews>
    <sheetView workbookViewId="0">
      <selection activeCell="F4" sqref="F4"/>
    </sheetView>
  </sheetViews>
  <sheetFormatPr baseColWidth="10" defaultRowHeight="20"/>
  <cols>
    <col min="1" max="1" width="17.140625" customWidth="1"/>
    <col min="2" max="2" width="57.140625" customWidth="1"/>
  </cols>
  <sheetData>
    <row r="1" spans="1:2">
      <c r="A1" s="27" t="s">
        <v>189</v>
      </c>
      <c r="B1" s="26" t="s">
        <v>194</v>
      </c>
    </row>
    <row r="2" spans="1:2">
      <c r="A2" s="27" t="s">
        <v>1</v>
      </c>
      <c r="B2" s="26" t="s">
        <v>5</v>
      </c>
    </row>
    <row r="3" spans="1:2">
      <c r="A3" s="27" t="s">
        <v>2</v>
      </c>
      <c r="B3" s="26" t="s">
        <v>61</v>
      </c>
    </row>
    <row r="5" spans="1:2" ht="23">
      <c r="A5" s="28" t="s">
        <v>191</v>
      </c>
    </row>
    <row r="6" spans="1:2" ht="231">
      <c r="A6" s="1" t="s">
        <v>9</v>
      </c>
    </row>
    <row r="8" spans="1:2" ht="23">
      <c r="A8" s="29" t="s">
        <v>192</v>
      </c>
    </row>
    <row r="9" spans="1:2" ht="231">
      <c r="A9" s="1" t="s">
        <v>10</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26E2-F4DF-5446-B0C2-28022B18E1FE}">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194</v>
      </c>
    </row>
    <row r="3" spans="1:2" ht="21">
      <c r="A3" s="32" t="s">
        <v>1</v>
      </c>
      <c r="B3" s="32" t="s">
        <v>5</v>
      </c>
    </row>
    <row r="4" spans="1:2" ht="21">
      <c r="A4" s="32" t="s">
        <v>2</v>
      </c>
      <c r="B4" s="32" t="s">
        <v>61</v>
      </c>
    </row>
    <row r="5" spans="1:2" ht="42">
      <c r="A5" s="32" t="s">
        <v>253</v>
      </c>
      <c r="B5" s="32" t="s">
        <v>9</v>
      </c>
    </row>
    <row r="6" spans="1:2" ht="147">
      <c r="A6" s="34" t="s">
        <v>288</v>
      </c>
      <c r="B6" s="34" t="s">
        <v>260</v>
      </c>
    </row>
    <row r="7" spans="1:2" ht="63">
      <c r="A7" s="35" t="s">
        <v>255</v>
      </c>
      <c r="B7" s="35" t="s">
        <v>261</v>
      </c>
    </row>
    <row r="8" spans="1:2" ht="21">
      <c r="A8" s="36" t="s">
        <v>289</v>
      </c>
      <c r="B8" s="36" t="s">
        <v>294</v>
      </c>
    </row>
    <row r="9" spans="1:2" ht="21">
      <c r="A9" s="32" t="s">
        <v>291</v>
      </c>
      <c r="B9" s="32" t="s">
        <v>295</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78D8D-4333-C94E-BCCE-C29594DE7A6C}">
  <dimension ref="A1:B9"/>
  <sheetViews>
    <sheetView workbookViewId="0">
      <selection activeCell="B4" sqref="B4"/>
    </sheetView>
  </sheetViews>
  <sheetFormatPr baseColWidth="10" defaultRowHeight="20"/>
  <cols>
    <col min="1" max="1" width="17.140625" customWidth="1"/>
    <col min="2" max="2" width="57.140625" customWidth="1"/>
  </cols>
  <sheetData>
    <row r="1" spans="1:2">
      <c r="A1" s="27" t="s">
        <v>189</v>
      </c>
      <c r="B1" s="26" t="s">
        <v>195</v>
      </c>
    </row>
    <row r="2" spans="1:2">
      <c r="A2" s="27" t="s">
        <v>1</v>
      </c>
      <c r="B2" s="26" t="s">
        <v>5</v>
      </c>
    </row>
    <row r="3" spans="1:2">
      <c r="A3" s="27" t="s">
        <v>2</v>
      </c>
      <c r="B3" s="26" t="s">
        <v>11</v>
      </c>
    </row>
    <row r="5" spans="1:2" ht="23">
      <c r="A5" s="28" t="s">
        <v>191</v>
      </c>
    </row>
    <row r="6" spans="1:2" ht="189">
      <c r="A6" s="1" t="s">
        <v>12</v>
      </c>
    </row>
    <row r="8" spans="1:2" ht="23">
      <c r="A8" s="29" t="s">
        <v>192</v>
      </c>
    </row>
    <row r="9" spans="1:2" ht="231">
      <c r="A9" s="1" t="s">
        <v>13</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B6B3-AD2B-4542-A0DC-2A396C242DE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195</v>
      </c>
    </row>
    <row r="3" spans="1:2" ht="21">
      <c r="A3" s="32" t="s">
        <v>1</v>
      </c>
      <c r="B3" s="32" t="s">
        <v>5</v>
      </c>
    </row>
    <row r="4" spans="1:2" ht="21">
      <c r="A4" s="32" t="s">
        <v>2</v>
      </c>
      <c r="B4" s="32" t="s">
        <v>11</v>
      </c>
    </row>
    <row r="5" spans="1:2" ht="42">
      <c r="A5" s="32" t="s">
        <v>253</v>
      </c>
      <c r="B5" s="32" t="s">
        <v>12</v>
      </c>
    </row>
    <row r="6" spans="1:2" ht="147">
      <c r="A6" s="34" t="s">
        <v>288</v>
      </c>
      <c r="B6" s="34" t="s">
        <v>262</v>
      </c>
    </row>
    <row r="7" spans="1:2" ht="63">
      <c r="A7" s="35" t="s">
        <v>255</v>
      </c>
      <c r="B7" s="35" t="s">
        <v>263</v>
      </c>
    </row>
    <row r="8" spans="1:2" ht="21">
      <c r="A8" s="36" t="s">
        <v>289</v>
      </c>
      <c r="B8" s="36" t="s">
        <v>296</v>
      </c>
    </row>
    <row r="9" spans="1:2" ht="21">
      <c r="A9" s="32" t="s">
        <v>291</v>
      </c>
      <c r="B9" s="32" t="s">
        <v>297</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C3AB-954A-E645-A650-D5995A588081}">
  <dimension ref="A1:B9"/>
  <sheetViews>
    <sheetView workbookViewId="0"/>
  </sheetViews>
  <sheetFormatPr baseColWidth="10" defaultRowHeight="20"/>
  <cols>
    <col min="1" max="1" width="17.140625" customWidth="1"/>
    <col min="2" max="2" width="57.140625" customWidth="1"/>
  </cols>
  <sheetData>
    <row r="1" spans="1:2">
      <c r="A1" s="27" t="s">
        <v>189</v>
      </c>
      <c r="B1" s="26" t="s">
        <v>196</v>
      </c>
    </row>
    <row r="2" spans="1:2">
      <c r="A2" s="27" t="s">
        <v>1</v>
      </c>
      <c r="B2" s="26" t="s">
        <v>5</v>
      </c>
    </row>
    <row r="3" spans="1:2">
      <c r="A3" s="27" t="s">
        <v>2</v>
      </c>
      <c r="B3" s="26" t="s">
        <v>62</v>
      </c>
    </row>
    <row r="5" spans="1:2" ht="23">
      <c r="A5" s="28" t="s">
        <v>191</v>
      </c>
    </row>
    <row r="6" spans="1:2" ht="252">
      <c r="A6" s="1" t="s">
        <v>14</v>
      </c>
    </row>
    <row r="8" spans="1:2" ht="23">
      <c r="A8" s="29" t="s">
        <v>192</v>
      </c>
    </row>
    <row r="9" spans="1:2" ht="231">
      <c r="A9" s="1" t="s">
        <v>15</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8200-7D42-274A-8EE4-EAB864F1DDD2}">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196</v>
      </c>
    </row>
    <row r="3" spans="1:2" ht="21">
      <c r="A3" s="32" t="s">
        <v>1</v>
      </c>
      <c r="B3" s="32" t="s">
        <v>5</v>
      </c>
    </row>
    <row r="4" spans="1:2" ht="21">
      <c r="A4" s="32" t="s">
        <v>2</v>
      </c>
      <c r="B4" s="32" t="s">
        <v>62</v>
      </c>
    </row>
    <row r="5" spans="1:2" ht="42">
      <c r="A5" s="32" t="s">
        <v>253</v>
      </c>
      <c r="B5" s="32" t="s">
        <v>14</v>
      </c>
    </row>
    <row r="6" spans="1:2" ht="147">
      <c r="A6" s="34" t="s">
        <v>288</v>
      </c>
      <c r="B6" s="34" t="s">
        <v>264</v>
      </c>
    </row>
    <row r="7" spans="1:2" ht="84">
      <c r="A7" s="35" t="s">
        <v>255</v>
      </c>
      <c r="B7" s="35" t="s">
        <v>265</v>
      </c>
    </row>
    <row r="8" spans="1:2" ht="21">
      <c r="A8" s="36" t="s">
        <v>289</v>
      </c>
      <c r="B8" s="36" t="s">
        <v>298</v>
      </c>
    </row>
    <row r="9" spans="1:2" ht="21">
      <c r="A9" s="32" t="s">
        <v>291</v>
      </c>
      <c r="B9" s="32" t="s">
        <v>299</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D275-B128-1842-A281-269C4B7BBEE8}">
  <dimension ref="A1:B9"/>
  <sheetViews>
    <sheetView workbookViewId="0"/>
  </sheetViews>
  <sheetFormatPr baseColWidth="10" defaultRowHeight="20"/>
  <cols>
    <col min="1" max="1" width="17.140625" customWidth="1"/>
    <col min="2" max="2" width="57.140625" customWidth="1"/>
  </cols>
  <sheetData>
    <row r="1" spans="1:2">
      <c r="A1" s="27" t="s">
        <v>189</v>
      </c>
      <c r="B1" s="26" t="s">
        <v>197</v>
      </c>
    </row>
    <row r="2" spans="1:2">
      <c r="A2" s="27" t="s">
        <v>1</v>
      </c>
      <c r="B2" s="26" t="s">
        <v>5</v>
      </c>
    </row>
    <row r="3" spans="1:2">
      <c r="A3" s="27" t="s">
        <v>2</v>
      </c>
      <c r="B3" s="26" t="s">
        <v>16</v>
      </c>
    </row>
    <row r="5" spans="1:2" ht="23">
      <c r="A5" s="28" t="s">
        <v>191</v>
      </c>
    </row>
    <row r="6" spans="1:2" ht="189">
      <c r="A6" s="1" t="s">
        <v>17</v>
      </c>
    </row>
    <row r="8" spans="1:2" ht="23">
      <c r="A8" s="29" t="s">
        <v>192</v>
      </c>
    </row>
    <row r="9" spans="1:2" ht="168">
      <c r="A9" s="1" t="s">
        <v>18</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4397-57CB-744F-8129-378DFE5F866F}">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197</v>
      </c>
    </row>
    <row r="3" spans="1:2" ht="21">
      <c r="A3" s="32" t="s">
        <v>1</v>
      </c>
      <c r="B3" s="32" t="s">
        <v>5</v>
      </c>
    </row>
    <row r="4" spans="1:2" ht="21">
      <c r="A4" s="32" t="s">
        <v>2</v>
      </c>
      <c r="B4" s="32" t="s">
        <v>16</v>
      </c>
    </row>
    <row r="5" spans="1:2" ht="21">
      <c r="A5" s="32" t="s">
        <v>253</v>
      </c>
      <c r="B5" s="32" t="s">
        <v>17</v>
      </c>
    </row>
    <row r="6" spans="1:2" ht="63">
      <c r="A6" s="34" t="s">
        <v>288</v>
      </c>
      <c r="B6" s="34" t="s">
        <v>266</v>
      </c>
    </row>
    <row r="7" spans="1:2" ht="63">
      <c r="A7" s="35" t="s">
        <v>255</v>
      </c>
      <c r="B7" s="35" t="s">
        <v>267</v>
      </c>
    </row>
    <row r="8" spans="1:2" ht="21">
      <c r="A8" s="36" t="s">
        <v>289</v>
      </c>
      <c r="B8" s="36" t="s">
        <v>300</v>
      </c>
    </row>
    <row r="9" spans="1:2" ht="21">
      <c r="A9" s="32" t="s">
        <v>291</v>
      </c>
      <c r="B9" s="32" t="s">
        <v>301</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547B-EC1E-B249-A7DF-E8D06E0D48AB}">
  <dimension ref="A1:B9"/>
  <sheetViews>
    <sheetView workbookViewId="0"/>
  </sheetViews>
  <sheetFormatPr baseColWidth="10" defaultRowHeight="20"/>
  <cols>
    <col min="1" max="1" width="17.140625" customWidth="1"/>
    <col min="2" max="2" width="57.140625" customWidth="1"/>
  </cols>
  <sheetData>
    <row r="1" spans="1:2">
      <c r="A1" s="27" t="s">
        <v>189</v>
      </c>
      <c r="B1" s="26" t="s">
        <v>198</v>
      </c>
    </row>
    <row r="2" spans="1:2">
      <c r="A2" s="27" t="s">
        <v>1</v>
      </c>
      <c r="B2" s="26" t="s">
        <v>5</v>
      </c>
    </row>
    <row r="3" spans="1:2">
      <c r="A3" s="27" t="s">
        <v>2</v>
      </c>
      <c r="B3" s="26" t="s">
        <v>19</v>
      </c>
    </row>
    <row r="5" spans="1:2" ht="23">
      <c r="A5" s="28" t="s">
        <v>191</v>
      </c>
    </row>
    <row r="6" spans="1:2" ht="189">
      <c r="A6" s="1" t="s">
        <v>20</v>
      </c>
    </row>
    <row r="8" spans="1:2" ht="23">
      <c r="A8" s="29" t="s">
        <v>192</v>
      </c>
    </row>
    <row r="9" spans="1:2" ht="189">
      <c r="A9" s="1" t="s">
        <v>21</v>
      </c>
    </row>
  </sheetData>
  <phoneticPr fontId="3"/>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E972-6BCE-ED42-AD1F-9FC02524657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198</v>
      </c>
    </row>
    <row r="3" spans="1:2" ht="21">
      <c r="A3" s="32" t="s">
        <v>1</v>
      </c>
      <c r="B3" s="32" t="s">
        <v>5</v>
      </c>
    </row>
    <row r="4" spans="1:2" ht="21">
      <c r="A4" s="32" t="s">
        <v>2</v>
      </c>
      <c r="B4" s="32" t="s">
        <v>19</v>
      </c>
    </row>
    <row r="5" spans="1:2" ht="21">
      <c r="A5" s="32" t="s">
        <v>253</v>
      </c>
      <c r="B5" s="32" t="s">
        <v>20</v>
      </c>
    </row>
    <row r="6" spans="1:2" ht="126">
      <c r="A6" s="34" t="s">
        <v>288</v>
      </c>
      <c r="B6" s="34" t="s">
        <v>268</v>
      </c>
    </row>
    <row r="7" spans="1:2" ht="63">
      <c r="A7" s="35" t="s">
        <v>255</v>
      </c>
      <c r="B7" s="35" t="s">
        <v>269</v>
      </c>
    </row>
    <row r="8" spans="1:2" ht="21">
      <c r="A8" s="36" t="s">
        <v>289</v>
      </c>
      <c r="B8" s="36" t="s">
        <v>302</v>
      </c>
    </row>
    <row r="9" spans="1:2" ht="21">
      <c r="A9" s="32" t="s">
        <v>291</v>
      </c>
      <c r="B9" s="32" t="s">
        <v>292</v>
      </c>
    </row>
  </sheetData>
  <phoneticPr fontId="3"/>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8B4B3-D1A3-D443-A2B1-4941BCFB21EA}">
  <dimension ref="A1:B9"/>
  <sheetViews>
    <sheetView workbookViewId="0"/>
  </sheetViews>
  <sheetFormatPr baseColWidth="10" defaultRowHeight="20"/>
  <cols>
    <col min="1" max="1" width="17.140625" customWidth="1"/>
    <col min="2" max="2" width="57.140625" customWidth="1"/>
  </cols>
  <sheetData>
    <row r="1" spans="1:2">
      <c r="A1" s="27" t="s">
        <v>189</v>
      </c>
      <c r="B1" s="26" t="s">
        <v>199</v>
      </c>
    </row>
    <row r="2" spans="1:2">
      <c r="A2" s="27" t="s">
        <v>1</v>
      </c>
      <c r="B2" s="26" t="s">
        <v>5</v>
      </c>
    </row>
    <row r="3" spans="1:2">
      <c r="A3" s="27" t="s">
        <v>2</v>
      </c>
      <c r="B3" s="26" t="s">
        <v>22</v>
      </c>
    </row>
    <row r="5" spans="1:2" ht="23">
      <c r="A5" s="28" t="s">
        <v>191</v>
      </c>
    </row>
    <row r="6" spans="1:2" ht="147">
      <c r="A6" s="1" t="s">
        <v>23</v>
      </c>
    </row>
    <row r="8" spans="1:2" ht="23">
      <c r="A8" s="29" t="s">
        <v>192</v>
      </c>
    </row>
    <row r="9" spans="1:2" ht="210">
      <c r="A9" s="1" t="s">
        <v>24</v>
      </c>
    </row>
  </sheetData>
  <phoneticPr fontId="3"/>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F911-3BB6-F845-A908-137CB62A0C2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199</v>
      </c>
    </row>
    <row r="3" spans="1:2" ht="21">
      <c r="A3" s="32" t="s">
        <v>1</v>
      </c>
      <c r="B3" s="32" t="s">
        <v>5</v>
      </c>
    </row>
    <row r="4" spans="1:2" ht="21">
      <c r="A4" s="32" t="s">
        <v>2</v>
      </c>
      <c r="B4" s="32" t="s">
        <v>22</v>
      </c>
    </row>
    <row r="5" spans="1:2" ht="21">
      <c r="A5" s="32" t="s">
        <v>253</v>
      </c>
      <c r="B5" s="32" t="s">
        <v>23</v>
      </c>
    </row>
    <row r="6" spans="1:2" ht="126">
      <c r="A6" s="34" t="s">
        <v>288</v>
      </c>
      <c r="B6" s="34" t="s">
        <v>270</v>
      </c>
    </row>
    <row r="7" spans="1:2" ht="84">
      <c r="A7" s="35" t="s">
        <v>255</v>
      </c>
      <c r="B7" s="35" t="s">
        <v>271</v>
      </c>
    </row>
    <row r="8" spans="1:2" ht="42">
      <c r="A8" s="36" t="s">
        <v>289</v>
      </c>
      <c r="B8" s="36" t="s">
        <v>303</v>
      </c>
    </row>
    <row r="9" spans="1:2" ht="21">
      <c r="A9" s="32" t="s">
        <v>291</v>
      </c>
      <c r="B9" s="32" t="s">
        <v>304</v>
      </c>
    </row>
  </sheetData>
  <phoneticPr fontId="3"/>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CB2C-4759-A34A-B4F4-CE4B3DFFBFD7}">
  <dimension ref="A1:B9"/>
  <sheetViews>
    <sheetView workbookViewId="0"/>
  </sheetViews>
  <sheetFormatPr baseColWidth="10" defaultRowHeight="20"/>
  <cols>
    <col min="1" max="1" width="17.140625" customWidth="1"/>
    <col min="2" max="2" width="57.140625" customWidth="1"/>
  </cols>
  <sheetData>
    <row r="1" spans="1:2">
      <c r="A1" s="27" t="s">
        <v>189</v>
      </c>
      <c r="B1" s="26" t="s">
        <v>200</v>
      </c>
    </row>
    <row r="2" spans="1:2">
      <c r="A2" s="27" t="s">
        <v>1</v>
      </c>
      <c r="B2" s="26" t="s">
        <v>5</v>
      </c>
    </row>
    <row r="3" spans="1:2">
      <c r="A3" s="27" t="s">
        <v>2</v>
      </c>
      <c r="B3" s="26" t="s">
        <v>25</v>
      </c>
    </row>
    <row r="5" spans="1:2" ht="23">
      <c r="A5" s="28" t="s">
        <v>191</v>
      </c>
    </row>
    <row r="6" spans="1:2" ht="168">
      <c r="A6" s="1" t="s">
        <v>26</v>
      </c>
    </row>
    <row r="8" spans="1:2" ht="23">
      <c r="A8" s="29" t="s">
        <v>192</v>
      </c>
    </row>
    <row r="9" spans="1:2" ht="252">
      <c r="A9" s="1" t="s">
        <v>27</v>
      </c>
    </row>
  </sheetData>
  <phoneticPr fontId="3"/>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610C-9A3E-B145-AC1F-D2C1BCD0F2FD}">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200</v>
      </c>
    </row>
    <row r="3" spans="1:2" ht="21">
      <c r="A3" s="32" t="s">
        <v>1</v>
      </c>
      <c r="B3" s="32" t="s">
        <v>5</v>
      </c>
    </row>
    <row r="4" spans="1:2" ht="21">
      <c r="A4" s="32" t="s">
        <v>2</v>
      </c>
      <c r="B4" s="32" t="s">
        <v>25</v>
      </c>
    </row>
    <row r="5" spans="1:2" ht="21">
      <c r="A5" s="32" t="s">
        <v>253</v>
      </c>
      <c r="B5" s="32" t="s">
        <v>26</v>
      </c>
    </row>
    <row r="6" spans="1:2" ht="168">
      <c r="A6" s="34" t="s">
        <v>288</v>
      </c>
      <c r="B6" s="34" t="s">
        <v>272</v>
      </c>
    </row>
    <row r="7" spans="1:2" ht="63">
      <c r="A7" s="35" t="s">
        <v>255</v>
      </c>
      <c r="B7" s="35" t="s">
        <v>273</v>
      </c>
    </row>
    <row r="8" spans="1:2" ht="21">
      <c r="A8" s="36" t="s">
        <v>289</v>
      </c>
      <c r="B8" s="36" t="s">
        <v>305</v>
      </c>
    </row>
    <row r="9" spans="1:2" ht="21">
      <c r="A9" s="32" t="s">
        <v>291</v>
      </c>
      <c r="B9" s="32" t="s">
        <v>292</v>
      </c>
    </row>
  </sheetData>
  <phoneticPr fontId="3"/>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AC23-5A93-B042-A5C7-F3FCC536143C}">
  <dimension ref="A1:B9"/>
  <sheetViews>
    <sheetView workbookViewId="0"/>
  </sheetViews>
  <sheetFormatPr baseColWidth="10" defaultRowHeight="20"/>
  <cols>
    <col min="1" max="1" width="17.140625" customWidth="1"/>
    <col min="2" max="2" width="57.140625" customWidth="1"/>
  </cols>
  <sheetData>
    <row r="1" spans="1:2">
      <c r="A1" s="27" t="s">
        <v>189</v>
      </c>
      <c r="B1" s="26" t="s">
        <v>201</v>
      </c>
    </row>
    <row r="2" spans="1:2">
      <c r="A2" s="27" t="s">
        <v>1</v>
      </c>
      <c r="B2" s="26" t="s">
        <v>5</v>
      </c>
    </row>
    <row r="3" spans="1:2">
      <c r="A3" s="27" t="s">
        <v>2</v>
      </c>
      <c r="B3" s="26" t="s">
        <v>28</v>
      </c>
    </row>
    <row r="5" spans="1:2" ht="23">
      <c r="A5" s="28" t="s">
        <v>191</v>
      </c>
    </row>
    <row r="6" spans="1:2" ht="168">
      <c r="A6" s="1" t="s">
        <v>29</v>
      </c>
    </row>
    <row r="8" spans="1:2" ht="23">
      <c r="A8" s="29" t="s">
        <v>192</v>
      </c>
    </row>
    <row r="9" spans="1:2" ht="210">
      <c r="A9" s="1" t="s">
        <v>30</v>
      </c>
    </row>
  </sheetData>
  <phoneticPr fontId="3"/>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9B2D-C42F-B343-98A2-CCA8D86CABE1}">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201</v>
      </c>
    </row>
    <row r="3" spans="1:2" ht="21">
      <c r="A3" s="32" t="s">
        <v>1</v>
      </c>
      <c r="B3" s="32" t="s">
        <v>5</v>
      </c>
    </row>
    <row r="4" spans="1:2" ht="21">
      <c r="A4" s="32" t="s">
        <v>2</v>
      </c>
      <c r="B4" s="32" t="s">
        <v>28</v>
      </c>
    </row>
    <row r="5" spans="1:2" ht="21">
      <c r="A5" s="32" t="s">
        <v>253</v>
      </c>
      <c r="B5" s="32" t="s">
        <v>29</v>
      </c>
    </row>
    <row r="6" spans="1:2" ht="168">
      <c r="A6" s="34" t="s">
        <v>288</v>
      </c>
      <c r="B6" s="34" t="s">
        <v>274</v>
      </c>
    </row>
    <row r="7" spans="1:2" ht="63">
      <c r="A7" s="35" t="s">
        <v>255</v>
      </c>
      <c r="B7" s="35" t="s">
        <v>275</v>
      </c>
    </row>
    <row r="8" spans="1:2" ht="21">
      <c r="A8" s="36" t="s">
        <v>289</v>
      </c>
      <c r="B8" s="36" t="s">
        <v>306</v>
      </c>
    </row>
    <row r="9" spans="1:2" ht="21">
      <c r="A9" s="32" t="s">
        <v>291</v>
      </c>
      <c r="B9" s="32" t="s">
        <v>307</v>
      </c>
    </row>
  </sheetData>
  <phoneticPr fontId="3"/>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1C06-81CE-8D44-B0BD-03EBBC85DF24}">
  <dimension ref="A1:B9"/>
  <sheetViews>
    <sheetView workbookViewId="0"/>
  </sheetViews>
  <sheetFormatPr baseColWidth="10" defaultRowHeight="20"/>
  <cols>
    <col min="1" max="1" width="17.140625" customWidth="1"/>
    <col min="2" max="2" width="57.140625" customWidth="1"/>
  </cols>
  <sheetData>
    <row r="1" spans="1:2">
      <c r="A1" s="27" t="s">
        <v>189</v>
      </c>
      <c r="B1" s="26" t="s">
        <v>202</v>
      </c>
    </row>
    <row r="2" spans="1:2">
      <c r="A2" s="27" t="s">
        <v>1</v>
      </c>
      <c r="B2" s="26" t="s">
        <v>5</v>
      </c>
    </row>
    <row r="3" spans="1:2">
      <c r="A3" s="27" t="s">
        <v>2</v>
      </c>
      <c r="B3" s="26" t="s">
        <v>31</v>
      </c>
    </row>
    <row r="5" spans="1:2" ht="23">
      <c r="A5" s="28" t="s">
        <v>191</v>
      </c>
    </row>
    <row r="6" spans="1:2" ht="147">
      <c r="A6" s="1" t="s">
        <v>32</v>
      </c>
    </row>
    <row r="8" spans="1:2" ht="23">
      <c r="A8" s="29" t="s">
        <v>192</v>
      </c>
    </row>
    <row r="9" spans="1:2" ht="189">
      <c r="A9" s="1" t="s">
        <v>63</v>
      </c>
    </row>
  </sheetData>
  <phoneticPr fontId="3"/>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D7D0C-A1BD-104D-ABF0-7285DA12253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202</v>
      </c>
    </row>
    <row r="3" spans="1:2" ht="21">
      <c r="A3" s="32" t="s">
        <v>1</v>
      </c>
      <c r="B3" s="32" t="s">
        <v>5</v>
      </c>
    </row>
    <row r="4" spans="1:2" ht="21">
      <c r="A4" s="32" t="s">
        <v>2</v>
      </c>
      <c r="B4" s="32" t="s">
        <v>31</v>
      </c>
    </row>
    <row r="5" spans="1:2" ht="21">
      <c r="A5" s="32" t="s">
        <v>253</v>
      </c>
      <c r="B5" s="32" t="s">
        <v>32</v>
      </c>
    </row>
    <row r="6" spans="1:2" ht="105">
      <c r="A6" s="34" t="s">
        <v>288</v>
      </c>
      <c r="B6" s="34" t="s">
        <v>276</v>
      </c>
    </row>
    <row r="7" spans="1:2" ht="63">
      <c r="A7" s="35" t="s">
        <v>255</v>
      </c>
      <c r="B7" s="35" t="s">
        <v>277</v>
      </c>
    </row>
    <row r="8" spans="1:2" ht="21">
      <c r="A8" s="36" t="s">
        <v>289</v>
      </c>
      <c r="B8" s="36" t="s">
        <v>308</v>
      </c>
    </row>
    <row r="9" spans="1:2" ht="21">
      <c r="A9" s="32" t="s">
        <v>291</v>
      </c>
      <c r="B9" s="32" t="s">
        <v>309</v>
      </c>
    </row>
  </sheetData>
  <phoneticPr fontId="3"/>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A8A4-FE20-8B47-A439-EDA8750C0D2C}">
  <dimension ref="A1:B9"/>
  <sheetViews>
    <sheetView workbookViewId="0"/>
  </sheetViews>
  <sheetFormatPr baseColWidth="10" defaultRowHeight="20"/>
  <cols>
    <col min="1" max="1" width="17.140625" customWidth="1"/>
    <col min="2" max="2" width="57.140625" customWidth="1"/>
  </cols>
  <sheetData>
    <row r="1" spans="1:2">
      <c r="A1" s="27" t="s">
        <v>189</v>
      </c>
      <c r="B1" s="26" t="s">
        <v>203</v>
      </c>
    </row>
    <row r="2" spans="1:2">
      <c r="A2" s="27" t="s">
        <v>1</v>
      </c>
      <c r="B2" s="26" t="s">
        <v>5</v>
      </c>
    </row>
    <row r="3" spans="1:2">
      <c r="A3" s="27" t="s">
        <v>2</v>
      </c>
      <c r="B3" s="26" t="s">
        <v>33</v>
      </c>
    </row>
    <row r="5" spans="1:2" ht="23">
      <c r="A5" s="28" t="s">
        <v>191</v>
      </c>
    </row>
    <row r="6" spans="1:2" ht="147">
      <c r="A6" s="1" t="s">
        <v>64</v>
      </c>
    </row>
    <row r="8" spans="1:2" ht="23">
      <c r="A8" s="29" t="s">
        <v>192</v>
      </c>
    </row>
    <row r="9" spans="1:2" ht="189">
      <c r="A9" s="1" t="s">
        <v>65</v>
      </c>
    </row>
  </sheetData>
  <phoneticPr fontId="3"/>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61DD-82E1-5F4D-A77E-67CF3CA7DBF0}">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203</v>
      </c>
    </row>
    <row r="3" spans="1:2" ht="21">
      <c r="A3" s="32" t="s">
        <v>1</v>
      </c>
      <c r="B3" s="32" t="s">
        <v>5</v>
      </c>
    </row>
    <row r="4" spans="1:2" ht="21">
      <c r="A4" s="32" t="s">
        <v>2</v>
      </c>
      <c r="B4" s="32" t="s">
        <v>33</v>
      </c>
    </row>
    <row r="5" spans="1:2" ht="21">
      <c r="A5" s="32" t="s">
        <v>253</v>
      </c>
      <c r="B5" s="32" t="s">
        <v>64</v>
      </c>
    </row>
    <row r="6" spans="1:2" ht="84">
      <c r="A6" s="34" t="s">
        <v>288</v>
      </c>
      <c r="B6" s="34" t="s">
        <v>278</v>
      </c>
    </row>
    <row r="7" spans="1:2" ht="84">
      <c r="A7" s="35" t="s">
        <v>255</v>
      </c>
      <c r="B7" s="35" t="s">
        <v>279</v>
      </c>
    </row>
    <row r="8" spans="1:2" ht="42">
      <c r="A8" s="36" t="s">
        <v>289</v>
      </c>
      <c r="B8" s="36" t="s">
        <v>310</v>
      </c>
    </row>
    <row r="9" spans="1:2" ht="21">
      <c r="A9" s="32" t="s">
        <v>291</v>
      </c>
      <c r="B9" s="32" t="s">
        <v>292</v>
      </c>
    </row>
  </sheetData>
  <phoneticPr fontId="3"/>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1545-2097-994D-9B19-6EC7C7D5AE66}">
  <dimension ref="A1:B9"/>
  <sheetViews>
    <sheetView workbookViewId="0"/>
  </sheetViews>
  <sheetFormatPr baseColWidth="10" defaultRowHeight="20"/>
  <cols>
    <col min="1" max="1" width="17.140625" customWidth="1"/>
    <col min="2" max="2" width="57.140625" customWidth="1"/>
  </cols>
  <sheetData>
    <row r="1" spans="1:2">
      <c r="A1" s="27" t="s">
        <v>189</v>
      </c>
      <c r="B1" s="26" t="s">
        <v>204</v>
      </c>
    </row>
    <row r="2" spans="1:2">
      <c r="A2" s="27" t="s">
        <v>1</v>
      </c>
      <c r="B2" s="26" t="s">
        <v>5</v>
      </c>
    </row>
    <row r="3" spans="1:2">
      <c r="A3" s="27" t="s">
        <v>2</v>
      </c>
      <c r="B3" s="26" t="s">
        <v>34</v>
      </c>
    </row>
    <row r="5" spans="1:2" ht="23">
      <c r="A5" s="28" t="s">
        <v>191</v>
      </c>
    </row>
    <row r="6" spans="1:2" ht="147">
      <c r="A6" s="1" t="s">
        <v>35</v>
      </c>
    </row>
    <row r="8" spans="1:2" ht="23">
      <c r="A8" s="29" t="s">
        <v>192</v>
      </c>
    </row>
    <row r="9" spans="1:2" ht="189">
      <c r="A9" s="1" t="s">
        <v>36</v>
      </c>
    </row>
  </sheetData>
  <phoneticPr fontId="3"/>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80DB-5AC1-CD4B-91D9-17B606EC82B1}">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204</v>
      </c>
    </row>
    <row r="3" spans="1:2" ht="21">
      <c r="A3" s="32" t="s">
        <v>1</v>
      </c>
      <c r="B3" s="32" t="s">
        <v>5</v>
      </c>
    </row>
    <row r="4" spans="1:2" ht="21">
      <c r="A4" s="32" t="s">
        <v>2</v>
      </c>
      <c r="B4" s="32" t="s">
        <v>34</v>
      </c>
    </row>
    <row r="5" spans="1:2" ht="21">
      <c r="A5" s="32" t="s">
        <v>253</v>
      </c>
      <c r="B5" s="32" t="s">
        <v>35</v>
      </c>
    </row>
    <row r="6" spans="1:2" ht="126">
      <c r="A6" s="34" t="s">
        <v>288</v>
      </c>
      <c r="B6" s="34" t="s">
        <v>280</v>
      </c>
    </row>
    <row r="7" spans="1:2" ht="84">
      <c r="A7" s="35" t="s">
        <v>255</v>
      </c>
      <c r="B7" s="35" t="s">
        <v>281</v>
      </c>
    </row>
    <row r="8" spans="1:2" ht="21">
      <c r="A8" s="36" t="s">
        <v>289</v>
      </c>
      <c r="B8" s="36" t="s">
        <v>311</v>
      </c>
    </row>
    <row r="9" spans="1:2" ht="21">
      <c r="A9" s="32" t="s">
        <v>291</v>
      </c>
      <c r="B9" s="32" t="s">
        <v>312</v>
      </c>
    </row>
  </sheetData>
  <phoneticPr fontId="3"/>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E317-CC5F-6445-869C-5F271F12F12D}">
  <dimension ref="A1:B9"/>
  <sheetViews>
    <sheetView workbookViewId="0"/>
  </sheetViews>
  <sheetFormatPr baseColWidth="10" defaultRowHeight="20"/>
  <cols>
    <col min="1" max="1" width="17.140625" customWidth="1"/>
    <col min="2" max="2" width="57.140625" customWidth="1"/>
  </cols>
  <sheetData>
    <row r="1" spans="1:2">
      <c r="A1" s="27" t="s">
        <v>189</v>
      </c>
      <c r="B1" s="26" t="s">
        <v>205</v>
      </c>
    </row>
    <row r="2" spans="1:2">
      <c r="A2" s="27" t="s">
        <v>1</v>
      </c>
      <c r="B2" s="26" t="s">
        <v>5</v>
      </c>
    </row>
    <row r="3" spans="1:2">
      <c r="A3" s="27" t="s">
        <v>2</v>
      </c>
      <c r="B3" s="26" t="s">
        <v>37</v>
      </c>
    </row>
    <row r="5" spans="1:2" ht="23">
      <c r="A5" s="28" t="s">
        <v>191</v>
      </c>
    </row>
    <row r="6" spans="1:2" ht="105">
      <c r="A6" s="1" t="s">
        <v>38</v>
      </c>
    </row>
    <row r="8" spans="1:2" ht="23">
      <c r="A8" s="29" t="s">
        <v>192</v>
      </c>
    </row>
    <row r="9" spans="1:2" ht="168">
      <c r="A9" s="1" t="s">
        <v>66</v>
      </c>
    </row>
  </sheetData>
  <phoneticPr fontId="3"/>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138AF-0DA7-D944-AA48-123168962F6F}">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205</v>
      </c>
    </row>
    <row r="3" spans="1:2" ht="21">
      <c r="A3" s="32" t="s">
        <v>1</v>
      </c>
      <c r="B3" s="32" t="s">
        <v>5</v>
      </c>
    </row>
    <row r="4" spans="1:2" ht="21">
      <c r="A4" s="32" t="s">
        <v>2</v>
      </c>
      <c r="B4" s="32" t="s">
        <v>37</v>
      </c>
    </row>
    <row r="5" spans="1:2" ht="21">
      <c r="A5" s="32" t="s">
        <v>253</v>
      </c>
      <c r="B5" s="32" t="s">
        <v>38</v>
      </c>
    </row>
    <row r="6" spans="1:2" ht="84">
      <c r="A6" s="34" t="s">
        <v>288</v>
      </c>
      <c r="B6" s="34" t="s">
        <v>282</v>
      </c>
    </row>
    <row r="7" spans="1:2" ht="84">
      <c r="A7" s="35" t="s">
        <v>255</v>
      </c>
      <c r="B7" s="35" t="s">
        <v>283</v>
      </c>
    </row>
    <row r="8" spans="1:2" ht="21">
      <c r="A8" s="36" t="s">
        <v>289</v>
      </c>
      <c r="B8" s="36" t="s">
        <v>313</v>
      </c>
    </row>
    <row r="9" spans="1:2" ht="21">
      <c r="A9" s="32" t="s">
        <v>291</v>
      </c>
      <c r="B9" s="32" t="s">
        <v>314</v>
      </c>
    </row>
  </sheetData>
  <phoneticPr fontId="3"/>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9C3AA-3069-D744-9CE0-6F036D823C2D}">
  <dimension ref="A1:B9"/>
  <sheetViews>
    <sheetView workbookViewId="0"/>
  </sheetViews>
  <sheetFormatPr baseColWidth="10" defaultRowHeight="20"/>
  <cols>
    <col min="1" max="1" width="17.140625" customWidth="1"/>
    <col min="2" max="2" width="57.140625" customWidth="1"/>
  </cols>
  <sheetData>
    <row r="1" spans="1:2">
      <c r="A1" s="27" t="s">
        <v>189</v>
      </c>
      <c r="B1" s="26" t="s">
        <v>206</v>
      </c>
    </row>
    <row r="2" spans="1:2">
      <c r="A2" s="27" t="s">
        <v>1</v>
      </c>
      <c r="B2" s="26" t="s">
        <v>5</v>
      </c>
    </row>
    <row r="3" spans="1:2">
      <c r="A3" s="27" t="s">
        <v>2</v>
      </c>
      <c r="B3" s="26" t="s">
        <v>39</v>
      </c>
    </row>
    <row r="5" spans="1:2" ht="23">
      <c r="A5" s="28" t="s">
        <v>191</v>
      </c>
    </row>
    <row r="6" spans="1:2" ht="189">
      <c r="A6" s="1" t="s">
        <v>40</v>
      </c>
    </row>
    <row r="8" spans="1:2" ht="23">
      <c r="A8" s="29" t="s">
        <v>192</v>
      </c>
    </row>
    <row r="9" spans="1:2" ht="210">
      <c r="A9" s="1" t="s">
        <v>67</v>
      </c>
    </row>
  </sheetData>
  <phoneticPr fontId="3"/>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1E6C-FBB7-094A-B921-74B50A8A063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206</v>
      </c>
    </row>
    <row r="3" spans="1:2" ht="21">
      <c r="A3" s="32" t="s">
        <v>1</v>
      </c>
      <c r="B3" s="32" t="s">
        <v>5</v>
      </c>
    </row>
    <row r="4" spans="1:2" ht="21">
      <c r="A4" s="32" t="s">
        <v>2</v>
      </c>
      <c r="B4" s="32" t="s">
        <v>39</v>
      </c>
    </row>
    <row r="5" spans="1:2" ht="42">
      <c r="A5" s="32" t="s">
        <v>253</v>
      </c>
      <c r="B5" s="32" t="s">
        <v>40</v>
      </c>
    </row>
    <row r="6" spans="1:2" ht="147">
      <c r="A6" s="34" t="s">
        <v>288</v>
      </c>
      <c r="B6" s="34" t="s">
        <v>284</v>
      </c>
    </row>
    <row r="7" spans="1:2" ht="63">
      <c r="A7" s="35" t="s">
        <v>255</v>
      </c>
      <c r="B7" s="35" t="s">
        <v>285</v>
      </c>
    </row>
    <row r="8" spans="1:2" ht="42">
      <c r="A8" s="36" t="s">
        <v>289</v>
      </c>
      <c r="B8" s="36" t="s">
        <v>315</v>
      </c>
    </row>
    <row r="9" spans="1:2" ht="21">
      <c r="A9" s="32" t="s">
        <v>291</v>
      </c>
      <c r="B9" s="32" t="s">
        <v>316</v>
      </c>
    </row>
  </sheetData>
  <phoneticPr fontId="3"/>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F4A5-92BA-9B49-816B-FDEF26C0EF3B}">
  <dimension ref="A1:B9"/>
  <sheetViews>
    <sheetView workbookViewId="0"/>
  </sheetViews>
  <sheetFormatPr baseColWidth="10" defaultRowHeight="20"/>
  <cols>
    <col min="1" max="1" width="17.140625" customWidth="1"/>
    <col min="2" max="2" width="57.140625" customWidth="1"/>
  </cols>
  <sheetData>
    <row r="1" spans="1:2">
      <c r="A1" s="27" t="s">
        <v>189</v>
      </c>
      <c r="B1" s="26" t="s">
        <v>207</v>
      </c>
    </row>
    <row r="2" spans="1:2">
      <c r="A2" s="27" t="s">
        <v>1</v>
      </c>
      <c r="B2" s="26" t="s">
        <v>5</v>
      </c>
    </row>
    <row r="3" spans="1:2">
      <c r="A3" s="27" t="s">
        <v>2</v>
      </c>
      <c r="B3" s="26" t="s">
        <v>41</v>
      </c>
    </row>
    <row r="5" spans="1:2" ht="23">
      <c r="A5" s="28" t="s">
        <v>191</v>
      </c>
    </row>
    <row r="6" spans="1:2" ht="168">
      <c r="A6" s="1" t="s">
        <v>68</v>
      </c>
    </row>
    <row r="8" spans="1:2" ht="23">
      <c r="A8" s="29" t="s">
        <v>192</v>
      </c>
    </row>
    <row r="9" spans="1:2" ht="168">
      <c r="A9" s="1" t="s">
        <v>42</v>
      </c>
    </row>
  </sheetData>
  <phoneticPr fontId="3"/>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A532-C263-5848-9988-F26AA5E3ABB8}">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207</v>
      </c>
    </row>
    <row r="3" spans="1:2" ht="21">
      <c r="A3" s="32" t="s">
        <v>1</v>
      </c>
      <c r="B3" s="32" t="s">
        <v>5</v>
      </c>
    </row>
    <row r="4" spans="1:2" ht="21">
      <c r="A4" s="32" t="s">
        <v>2</v>
      </c>
      <c r="B4" s="32" t="s">
        <v>41</v>
      </c>
    </row>
    <row r="5" spans="1:2" ht="21">
      <c r="A5" s="32" t="s">
        <v>253</v>
      </c>
      <c r="B5" s="32" t="s">
        <v>68</v>
      </c>
    </row>
    <row r="6" spans="1:2" ht="126">
      <c r="A6" s="34" t="s">
        <v>288</v>
      </c>
      <c r="B6" s="34" t="s">
        <v>317</v>
      </c>
    </row>
    <row r="7" spans="1:2" ht="63">
      <c r="A7" s="35" t="s">
        <v>255</v>
      </c>
      <c r="B7" s="35" t="s">
        <v>318</v>
      </c>
    </row>
    <row r="8" spans="1:2" ht="21">
      <c r="A8" s="36" t="s">
        <v>289</v>
      </c>
      <c r="B8" s="36" t="s">
        <v>319</v>
      </c>
    </row>
    <row r="9" spans="1:2" ht="21">
      <c r="A9" s="32" t="s">
        <v>291</v>
      </c>
      <c r="B9" s="32" t="s">
        <v>292</v>
      </c>
    </row>
  </sheetData>
  <phoneticPr fontId="3"/>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ABC9-7512-6540-8650-FFEC5764C2B9}">
  <dimension ref="A1:B9"/>
  <sheetViews>
    <sheetView workbookViewId="0"/>
  </sheetViews>
  <sheetFormatPr baseColWidth="10" defaultRowHeight="20"/>
  <cols>
    <col min="1" max="1" width="17.140625" customWidth="1"/>
    <col min="2" max="2" width="57.140625" customWidth="1"/>
  </cols>
  <sheetData>
    <row r="1" spans="1:2">
      <c r="A1" s="27" t="s">
        <v>189</v>
      </c>
      <c r="B1" s="26" t="s">
        <v>208</v>
      </c>
    </row>
    <row r="2" spans="1:2">
      <c r="A2" s="27" t="s">
        <v>1</v>
      </c>
      <c r="B2" s="26" t="s">
        <v>5</v>
      </c>
    </row>
    <row r="3" spans="1:2">
      <c r="A3" s="27" t="s">
        <v>2</v>
      </c>
      <c r="B3" s="26" t="s">
        <v>69</v>
      </c>
    </row>
    <row r="5" spans="1:2" ht="23">
      <c r="A5" s="28" t="s">
        <v>191</v>
      </c>
    </row>
    <row r="6" spans="1:2" ht="147">
      <c r="A6" s="1" t="s">
        <v>70</v>
      </c>
    </row>
    <row r="8" spans="1:2" ht="23">
      <c r="A8" s="29" t="s">
        <v>192</v>
      </c>
    </row>
    <row r="9" spans="1:2" ht="231">
      <c r="A9" s="1" t="s">
        <v>71</v>
      </c>
    </row>
  </sheetData>
  <phoneticPr fontId="3"/>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FE88-8726-DA4B-9575-A993EAC51978}">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208</v>
      </c>
    </row>
    <row r="3" spans="1:2" ht="21">
      <c r="A3" s="32" t="s">
        <v>1</v>
      </c>
      <c r="B3" s="32" t="s">
        <v>5</v>
      </c>
    </row>
    <row r="4" spans="1:2" ht="21">
      <c r="A4" s="32" t="s">
        <v>2</v>
      </c>
      <c r="B4" s="32" t="s">
        <v>69</v>
      </c>
    </row>
    <row r="5" spans="1:2" ht="21">
      <c r="A5" s="32" t="s">
        <v>253</v>
      </c>
      <c r="B5" s="32" t="s">
        <v>70</v>
      </c>
    </row>
    <row r="6" spans="1:2" ht="147">
      <c r="A6" s="34" t="s">
        <v>288</v>
      </c>
      <c r="B6" s="34" t="s">
        <v>320</v>
      </c>
    </row>
    <row r="7" spans="1:2" ht="63">
      <c r="A7" s="35" t="s">
        <v>255</v>
      </c>
      <c r="B7" s="35" t="s">
        <v>321</v>
      </c>
    </row>
    <row r="8" spans="1:2" ht="21">
      <c r="A8" s="36" t="s">
        <v>289</v>
      </c>
      <c r="B8" s="36" t="s">
        <v>322</v>
      </c>
    </row>
    <row r="9" spans="1:2" ht="21">
      <c r="A9" s="32" t="s">
        <v>291</v>
      </c>
      <c r="B9" s="32" t="s">
        <v>323</v>
      </c>
    </row>
  </sheetData>
  <phoneticPr fontId="3"/>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E81D-BB6A-0847-A4FD-909C6B5746F1}">
  <dimension ref="A1:B9"/>
  <sheetViews>
    <sheetView workbookViewId="0"/>
  </sheetViews>
  <sheetFormatPr baseColWidth="10" defaultRowHeight="20"/>
  <cols>
    <col min="1" max="1" width="17.140625" customWidth="1"/>
    <col min="2" max="2" width="57.140625" customWidth="1"/>
  </cols>
  <sheetData>
    <row r="1" spans="1:2">
      <c r="A1" s="27" t="s">
        <v>189</v>
      </c>
      <c r="B1" s="26" t="s">
        <v>209</v>
      </c>
    </row>
    <row r="2" spans="1:2">
      <c r="A2" s="27" t="s">
        <v>1</v>
      </c>
      <c r="B2" s="26" t="s">
        <v>5</v>
      </c>
    </row>
    <row r="3" spans="1:2">
      <c r="A3" s="27" t="s">
        <v>2</v>
      </c>
      <c r="B3" s="26" t="s">
        <v>72</v>
      </c>
    </row>
    <row r="5" spans="1:2" ht="23">
      <c r="A5" s="28" t="s">
        <v>191</v>
      </c>
    </row>
    <row r="6" spans="1:2" ht="210">
      <c r="A6" s="1" t="s">
        <v>73</v>
      </c>
    </row>
    <row r="8" spans="1:2" ht="23">
      <c r="A8" s="29" t="s">
        <v>192</v>
      </c>
    </row>
    <row r="9" spans="1:2" ht="252">
      <c r="A9" s="1" t="s">
        <v>74</v>
      </c>
    </row>
  </sheetData>
  <phoneticPr fontId="3"/>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60CD-354F-7442-9EDC-013E135F87D6}">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209</v>
      </c>
    </row>
    <row r="3" spans="1:2" ht="21">
      <c r="A3" s="32" t="s">
        <v>1</v>
      </c>
      <c r="B3" s="32" t="s">
        <v>5</v>
      </c>
    </row>
    <row r="4" spans="1:2" ht="21">
      <c r="A4" s="32" t="s">
        <v>2</v>
      </c>
      <c r="B4" s="32" t="s">
        <v>72</v>
      </c>
    </row>
    <row r="5" spans="1:2" ht="42">
      <c r="A5" s="32" t="s">
        <v>253</v>
      </c>
      <c r="B5" s="32" t="s">
        <v>73</v>
      </c>
    </row>
    <row r="6" spans="1:2" ht="147">
      <c r="A6" s="34" t="s">
        <v>288</v>
      </c>
      <c r="B6" s="34" t="s">
        <v>324</v>
      </c>
    </row>
    <row r="7" spans="1:2" ht="84">
      <c r="A7" s="35" t="s">
        <v>255</v>
      </c>
      <c r="B7" s="35" t="s">
        <v>325</v>
      </c>
    </row>
    <row r="8" spans="1:2" ht="21">
      <c r="A8" s="36" t="s">
        <v>289</v>
      </c>
      <c r="B8" s="36" t="s">
        <v>326</v>
      </c>
    </row>
    <row r="9" spans="1:2" ht="21">
      <c r="A9" s="32" t="s">
        <v>291</v>
      </c>
      <c r="B9" s="32" t="s">
        <v>327</v>
      </c>
    </row>
  </sheetData>
  <phoneticPr fontId="3"/>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66B31-1173-E14D-9766-A43563FCA533}">
  <dimension ref="A1:B9"/>
  <sheetViews>
    <sheetView workbookViewId="0"/>
  </sheetViews>
  <sheetFormatPr baseColWidth="10" defaultRowHeight="20"/>
  <cols>
    <col min="1" max="1" width="17.140625" customWidth="1"/>
    <col min="2" max="2" width="57.140625" customWidth="1"/>
  </cols>
  <sheetData>
    <row r="1" spans="1:2">
      <c r="A1" s="27" t="s">
        <v>189</v>
      </c>
      <c r="B1" s="26" t="s">
        <v>210</v>
      </c>
    </row>
    <row r="2" spans="1:2">
      <c r="A2" s="27" t="s">
        <v>1</v>
      </c>
      <c r="B2" s="26" t="s">
        <v>5</v>
      </c>
    </row>
    <row r="3" spans="1:2">
      <c r="A3" s="27" t="s">
        <v>2</v>
      </c>
      <c r="B3" s="26" t="s">
        <v>43</v>
      </c>
    </row>
    <row r="5" spans="1:2" ht="23">
      <c r="A5" s="28" t="s">
        <v>191</v>
      </c>
    </row>
    <row r="6" spans="1:2" ht="126">
      <c r="A6" s="1" t="s">
        <v>44</v>
      </c>
    </row>
    <row r="8" spans="1:2" ht="23">
      <c r="A8" s="29" t="s">
        <v>192</v>
      </c>
    </row>
    <row r="9" spans="1:2" ht="168">
      <c r="A9" s="1" t="s">
        <v>75</v>
      </c>
    </row>
  </sheetData>
  <phoneticPr fontId="3"/>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F53C-D35D-B24C-8F53-D34370191FB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210</v>
      </c>
    </row>
    <row r="3" spans="1:2" ht="21">
      <c r="A3" s="32" t="s">
        <v>1</v>
      </c>
      <c r="B3" s="32" t="s">
        <v>5</v>
      </c>
    </row>
    <row r="4" spans="1:2" ht="21">
      <c r="A4" s="32" t="s">
        <v>2</v>
      </c>
      <c r="B4" s="32" t="s">
        <v>43</v>
      </c>
    </row>
    <row r="5" spans="1:2" ht="21">
      <c r="A5" s="32" t="s">
        <v>253</v>
      </c>
      <c r="B5" s="32" t="s">
        <v>44</v>
      </c>
    </row>
    <row r="6" spans="1:2" ht="126">
      <c r="A6" s="34" t="s">
        <v>288</v>
      </c>
      <c r="B6" s="34" t="s">
        <v>328</v>
      </c>
    </row>
    <row r="7" spans="1:2" ht="84">
      <c r="A7" s="35" t="s">
        <v>255</v>
      </c>
      <c r="B7" s="35" t="s">
        <v>329</v>
      </c>
    </row>
    <row r="8" spans="1:2" ht="21">
      <c r="A8" s="36" t="s">
        <v>289</v>
      </c>
      <c r="B8" s="36" t="s">
        <v>330</v>
      </c>
    </row>
    <row r="9" spans="1:2" ht="21">
      <c r="A9" s="32" t="s">
        <v>291</v>
      </c>
      <c r="B9" s="32" t="s">
        <v>323</v>
      </c>
    </row>
  </sheetData>
  <phoneticPr fontId="3"/>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F68A-FF18-8048-9501-E8D00A0C6127}">
  <dimension ref="A1:B9"/>
  <sheetViews>
    <sheetView workbookViewId="0"/>
  </sheetViews>
  <sheetFormatPr baseColWidth="10" defaultRowHeight="20"/>
  <cols>
    <col min="1" max="1" width="17.140625" customWidth="1"/>
    <col min="2" max="2" width="57.140625" customWidth="1"/>
  </cols>
  <sheetData>
    <row r="1" spans="1:2">
      <c r="A1" s="27" t="s">
        <v>189</v>
      </c>
      <c r="B1" s="26" t="s">
        <v>211</v>
      </c>
    </row>
    <row r="2" spans="1:2">
      <c r="A2" s="27" t="s">
        <v>1</v>
      </c>
      <c r="B2" s="26" t="s">
        <v>5</v>
      </c>
    </row>
    <row r="3" spans="1:2">
      <c r="A3" s="27" t="s">
        <v>2</v>
      </c>
      <c r="B3" s="26" t="s">
        <v>76</v>
      </c>
    </row>
    <row r="5" spans="1:2" ht="23">
      <c r="A5" s="28" t="s">
        <v>191</v>
      </c>
    </row>
    <row r="6" spans="1:2" ht="252">
      <c r="A6" s="1" t="s">
        <v>77</v>
      </c>
    </row>
    <row r="8" spans="1:2" ht="23">
      <c r="A8" s="29" t="s">
        <v>192</v>
      </c>
    </row>
    <row r="9" spans="1:2" ht="273">
      <c r="A9" s="1" t="s">
        <v>78</v>
      </c>
    </row>
  </sheetData>
  <phoneticPr fontId="3"/>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3883-46EF-9C41-BC69-815B366414ED}">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211</v>
      </c>
    </row>
    <row r="3" spans="1:2" ht="21">
      <c r="A3" s="32" t="s">
        <v>1</v>
      </c>
      <c r="B3" s="32" t="s">
        <v>5</v>
      </c>
    </row>
    <row r="4" spans="1:2" ht="21">
      <c r="A4" s="32" t="s">
        <v>2</v>
      </c>
      <c r="B4" s="32" t="s">
        <v>76</v>
      </c>
    </row>
    <row r="5" spans="1:2" ht="42">
      <c r="A5" s="32" t="s">
        <v>253</v>
      </c>
      <c r="B5" s="32" t="s">
        <v>331</v>
      </c>
    </row>
    <row r="6" spans="1:2" ht="168">
      <c r="A6" s="34" t="s">
        <v>288</v>
      </c>
      <c r="B6" s="34" t="s">
        <v>332</v>
      </c>
    </row>
    <row r="7" spans="1:2" ht="84">
      <c r="A7" s="35" t="s">
        <v>255</v>
      </c>
      <c r="B7" s="35" t="s">
        <v>333</v>
      </c>
    </row>
    <row r="8" spans="1:2" ht="42">
      <c r="A8" s="36" t="s">
        <v>289</v>
      </c>
      <c r="B8" s="36" t="s">
        <v>334</v>
      </c>
    </row>
    <row r="9" spans="1:2" ht="21">
      <c r="A9" s="32" t="s">
        <v>291</v>
      </c>
      <c r="B9" s="32" t="s">
        <v>335</v>
      </c>
    </row>
  </sheetData>
  <phoneticPr fontId="3"/>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A549C-357B-7041-B2DD-EB160FCEA94F}">
  <dimension ref="A1:B9"/>
  <sheetViews>
    <sheetView workbookViewId="0"/>
  </sheetViews>
  <sheetFormatPr baseColWidth="10" defaultRowHeight="20"/>
  <cols>
    <col min="1" max="1" width="17.140625" customWidth="1"/>
    <col min="2" max="2" width="57.140625" customWidth="1"/>
  </cols>
  <sheetData>
    <row r="1" spans="1:2">
      <c r="A1" s="27" t="s">
        <v>189</v>
      </c>
      <c r="B1" s="26" t="s">
        <v>212</v>
      </c>
    </row>
    <row r="2" spans="1:2">
      <c r="A2" s="27" t="s">
        <v>1</v>
      </c>
      <c r="B2" s="26" t="s">
        <v>45</v>
      </c>
    </row>
    <row r="3" spans="1:2">
      <c r="A3" s="27" t="s">
        <v>2</v>
      </c>
      <c r="B3" s="26" t="s">
        <v>46</v>
      </c>
    </row>
    <row r="5" spans="1:2" ht="23">
      <c r="A5" s="28" t="s">
        <v>191</v>
      </c>
    </row>
    <row r="6" spans="1:2" ht="147">
      <c r="A6" s="1" t="s">
        <v>47</v>
      </c>
    </row>
    <row r="8" spans="1:2" ht="23">
      <c r="A8" s="29" t="s">
        <v>192</v>
      </c>
    </row>
    <row r="9" spans="1:2" ht="210">
      <c r="A9" s="1" t="s">
        <v>79</v>
      </c>
    </row>
  </sheetData>
  <phoneticPr fontId="3"/>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E8AD-127B-4647-AC0C-0EDAAD1D874D}">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212</v>
      </c>
    </row>
    <row r="3" spans="1:2" ht="21">
      <c r="A3" s="32" t="s">
        <v>1</v>
      </c>
      <c r="B3" s="32" t="s">
        <v>45</v>
      </c>
    </row>
    <row r="4" spans="1:2" ht="21">
      <c r="A4" s="32" t="s">
        <v>2</v>
      </c>
      <c r="B4" s="32" t="s">
        <v>46</v>
      </c>
    </row>
    <row r="5" spans="1:2" ht="21">
      <c r="A5" s="32" t="s">
        <v>253</v>
      </c>
      <c r="B5" s="32" t="s">
        <v>47</v>
      </c>
    </row>
    <row r="6" spans="1:2" ht="147">
      <c r="A6" s="34" t="s">
        <v>288</v>
      </c>
      <c r="B6" s="34" t="s">
        <v>336</v>
      </c>
    </row>
    <row r="7" spans="1:2" ht="63">
      <c r="A7" s="35" t="s">
        <v>255</v>
      </c>
      <c r="B7" s="35" t="s">
        <v>337</v>
      </c>
    </row>
    <row r="8" spans="1:2" ht="21">
      <c r="A8" s="36" t="s">
        <v>289</v>
      </c>
      <c r="B8" s="36" t="s">
        <v>338</v>
      </c>
    </row>
    <row r="9" spans="1:2" ht="21">
      <c r="A9" s="32" t="s">
        <v>291</v>
      </c>
      <c r="B9" s="32" t="s">
        <v>339</v>
      </c>
    </row>
  </sheetData>
  <phoneticPr fontId="3"/>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E249-3FE0-9E42-9C9E-96DE4C52E28C}">
  <dimension ref="A1:B9"/>
  <sheetViews>
    <sheetView workbookViewId="0"/>
  </sheetViews>
  <sheetFormatPr baseColWidth="10" defaultRowHeight="20"/>
  <cols>
    <col min="1" max="1" width="17.140625" customWidth="1"/>
    <col min="2" max="2" width="57.140625" customWidth="1"/>
  </cols>
  <sheetData>
    <row r="1" spans="1:2">
      <c r="A1" s="27" t="s">
        <v>189</v>
      </c>
      <c r="B1" s="26" t="s">
        <v>213</v>
      </c>
    </row>
    <row r="2" spans="1:2">
      <c r="A2" s="27" t="s">
        <v>1</v>
      </c>
      <c r="B2" s="26" t="s">
        <v>45</v>
      </c>
    </row>
    <row r="3" spans="1:2">
      <c r="A3" s="27" t="s">
        <v>2</v>
      </c>
      <c r="B3" s="26" t="s">
        <v>80</v>
      </c>
    </row>
    <row r="5" spans="1:2" ht="23">
      <c r="A5" s="28" t="s">
        <v>191</v>
      </c>
    </row>
    <row r="6" spans="1:2" ht="126">
      <c r="A6" s="1" t="s">
        <v>48</v>
      </c>
    </row>
    <row r="8" spans="1:2" ht="23">
      <c r="A8" s="29" t="s">
        <v>192</v>
      </c>
    </row>
    <row r="9" spans="1:2" ht="210">
      <c r="A9" s="1" t="s">
        <v>49</v>
      </c>
    </row>
  </sheetData>
  <phoneticPr fontId="3"/>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E4C1-AB35-274A-9898-9DD5291FEF81}">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213</v>
      </c>
    </row>
    <row r="3" spans="1:2" ht="21">
      <c r="A3" s="32" t="s">
        <v>1</v>
      </c>
      <c r="B3" s="32" t="s">
        <v>45</v>
      </c>
    </row>
    <row r="4" spans="1:2" ht="21">
      <c r="A4" s="32" t="s">
        <v>2</v>
      </c>
      <c r="B4" s="32" t="s">
        <v>80</v>
      </c>
    </row>
    <row r="5" spans="1:2" ht="21">
      <c r="A5" s="32" t="s">
        <v>253</v>
      </c>
      <c r="B5" s="32" t="s">
        <v>48</v>
      </c>
    </row>
    <row r="6" spans="1:2" ht="147">
      <c r="A6" s="34" t="s">
        <v>288</v>
      </c>
      <c r="B6" s="34" t="s">
        <v>340</v>
      </c>
    </row>
    <row r="7" spans="1:2" ht="84">
      <c r="A7" s="35" t="s">
        <v>255</v>
      </c>
      <c r="B7" s="35" t="s">
        <v>341</v>
      </c>
    </row>
    <row r="8" spans="1:2" ht="21">
      <c r="A8" s="36" t="s">
        <v>289</v>
      </c>
      <c r="B8" s="36" t="s">
        <v>342</v>
      </c>
    </row>
    <row r="9" spans="1:2" ht="21">
      <c r="A9" s="32" t="s">
        <v>291</v>
      </c>
      <c r="B9" s="32" t="s">
        <v>343</v>
      </c>
    </row>
  </sheetData>
  <phoneticPr fontId="3"/>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5512-C9FE-A944-A192-DD7F3416B707}">
  <dimension ref="A1:B9"/>
  <sheetViews>
    <sheetView workbookViewId="0"/>
  </sheetViews>
  <sheetFormatPr baseColWidth="10" defaultRowHeight="20"/>
  <cols>
    <col min="1" max="1" width="17.140625" customWidth="1"/>
    <col min="2" max="2" width="57.140625" customWidth="1"/>
  </cols>
  <sheetData>
    <row r="1" spans="1:2">
      <c r="A1" s="27" t="s">
        <v>189</v>
      </c>
      <c r="B1" s="26" t="s">
        <v>214</v>
      </c>
    </row>
    <row r="2" spans="1:2">
      <c r="A2" s="27" t="s">
        <v>1</v>
      </c>
      <c r="B2" s="26" t="s">
        <v>45</v>
      </c>
    </row>
    <row r="3" spans="1:2">
      <c r="A3" s="27" t="s">
        <v>2</v>
      </c>
      <c r="B3" s="26" t="s">
        <v>50</v>
      </c>
    </row>
    <row r="5" spans="1:2" ht="23">
      <c r="A5" s="28" t="s">
        <v>191</v>
      </c>
    </row>
    <row r="6" spans="1:2" ht="210">
      <c r="A6" s="1" t="s">
        <v>81</v>
      </c>
    </row>
    <row r="8" spans="1:2" ht="23">
      <c r="A8" s="29" t="s">
        <v>192</v>
      </c>
    </row>
    <row r="9" spans="1:2" ht="210">
      <c r="A9" s="1" t="s">
        <v>82</v>
      </c>
    </row>
  </sheetData>
  <phoneticPr fontId="3"/>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1AD11-C8DB-0747-BD54-8F9785FF0D4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214</v>
      </c>
    </row>
    <row r="3" spans="1:2" ht="21">
      <c r="A3" s="32" t="s">
        <v>1</v>
      </c>
      <c r="B3" s="32" t="s">
        <v>45</v>
      </c>
    </row>
    <row r="4" spans="1:2" ht="21">
      <c r="A4" s="32" t="s">
        <v>2</v>
      </c>
      <c r="B4" s="32" t="s">
        <v>50</v>
      </c>
    </row>
    <row r="5" spans="1:2" ht="42">
      <c r="A5" s="32" t="s">
        <v>253</v>
      </c>
      <c r="B5" s="32" t="s">
        <v>81</v>
      </c>
    </row>
    <row r="6" spans="1:2" ht="105">
      <c r="A6" s="34" t="s">
        <v>288</v>
      </c>
      <c r="B6" s="34" t="s">
        <v>344</v>
      </c>
    </row>
    <row r="7" spans="1:2" ht="84">
      <c r="A7" s="35" t="s">
        <v>255</v>
      </c>
      <c r="B7" s="35" t="s">
        <v>345</v>
      </c>
    </row>
    <row r="8" spans="1:2" ht="21">
      <c r="A8" s="36" t="s">
        <v>289</v>
      </c>
      <c r="B8" s="36" t="s">
        <v>346</v>
      </c>
    </row>
    <row r="9" spans="1:2" ht="21">
      <c r="A9" s="32" t="s">
        <v>291</v>
      </c>
      <c r="B9" s="32" t="s">
        <v>347</v>
      </c>
    </row>
  </sheetData>
  <phoneticPr fontId="3"/>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7A0B-0523-AE46-A118-720060D795D1}">
  <dimension ref="A1:B9"/>
  <sheetViews>
    <sheetView workbookViewId="0"/>
  </sheetViews>
  <sheetFormatPr baseColWidth="10" defaultRowHeight="20"/>
  <cols>
    <col min="1" max="1" width="17.140625" customWidth="1"/>
    <col min="2" max="2" width="57.140625" customWidth="1"/>
  </cols>
  <sheetData>
    <row r="1" spans="1:2">
      <c r="A1" s="27" t="s">
        <v>189</v>
      </c>
      <c r="B1" s="26" t="s">
        <v>215</v>
      </c>
    </row>
    <row r="2" spans="1:2">
      <c r="A2" s="27" t="s">
        <v>1</v>
      </c>
      <c r="B2" s="26" t="s">
        <v>45</v>
      </c>
    </row>
    <row r="3" spans="1:2">
      <c r="A3" s="27" t="s">
        <v>2</v>
      </c>
      <c r="B3" s="26" t="s">
        <v>51</v>
      </c>
    </row>
    <row r="5" spans="1:2" ht="23">
      <c r="A5" s="28" t="s">
        <v>191</v>
      </c>
    </row>
    <row r="6" spans="1:2" ht="84">
      <c r="A6" s="1" t="s">
        <v>52</v>
      </c>
    </row>
    <row r="8" spans="1:2" ht="23">
      <c r="A8" s="29" t="s">
        <v>192</v>
      </c>
    </row>
    <row r="9" spans="1:2" ht="189">
      <c r="A9" s="1" t="s">
        <v>53</v>
      </c>
    </row>
  </sheetData>
  <phoneticPr fontId="3"/>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9E92-D76A-B24D-9EED-DAD5F91AC71B}">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215</v>
      </c>
    </row>
    <row r="3" spans="1:2" ht="21">
      <c r="A3" s="32" t="s">
        <v>1</v>
      </c>
      <c r="B3" s="32" t="s">
        <v>45</v>
      </c>
    </row>
    <row r="4" spans="1:2" ht="21">
      <c r="A4" s="32" t="s">
        <v>2</v>
      </c>
      <c r="B4" s="32" t="s">
        <v>51</v>
      </c>
    </row>
    <row r="5" spans="1:2" ht="21">
      <c r="A5" s="32" t="s">
        <v>253</v>
      </c>
      <c r="B5" s="32" t="s">
        <v>52</v>
      </c>
    </row>
    <row r="6" spans="1:2" ht="126">
      <c r="A6" s="34" t="s">
        <v>288</v>
      </c>
      <c r="B6" s="34" t="s">
        <v>348</v>
      </c>
    </row>
    <row r="7" spans="1:2" ht="84">
      <c r="A7" s="35" t="s">
        <v>255</v>
      </c>
      <c r="B7" s="35" t="s">
        <v>349</v>
      </c>
    </row>
    <row r="8" spans="1:2" ht="21">
      <c r="A8" s="36" t="s">
        <v>289</v>
      </c>
      <c r="B8" s="36" t="s">
        <v>350</v>
      </c>
    </row>
    <row r="9" spans="1:2" ht="21">
      <c r="A9" s="32" t="s">
        <v>291</v>
      </c>
      <c r="B9" s="32" t="s">
        <v>351</v>
      </c>
    </row>
  </sheetData>
  <phoneticPr fontId="3"/>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BE68-6D70-E04F-AA96-BDD5CBEC571C}">
  <dimension ref="A1:B9"/>
  <sheetViews>
    <sheetView workbookViewId="0"/>
  </sheetViews>
  <sheetFormatPr baseColWidth="10" defaultRowHeight="20"/>
  <cols>
    <col min="1" max="1" width="17.140625" customWidth="1"/>
    <col min="2" max="2" width="57.140625" customWidth="1"/>
  </cols>
  <sheetData>
    <row r="1" spans="1:2">
      <c r="A1" s="27" t="s">
        <v>189</v>
      </c>
      <c r="B1" s="26" t="s">
        <v>216</v>
      </c>
    </row>
    <row r="2" spans="1:2">
      <c r="A2" s="27" t="s">
        <v>1</v>
      </c>
      <c r="B2" s="26" t="s">
        <v>45</v>
      </c>
    </row>
    <row r="3" spans="1:2">
      <c r="A3" s="27" t="s">
        <v>2</v>
      </c>
      <c r="B3" s="26" t="s">
        <v>54</v>
      </c>
    </row>
    <row r="5" spans="1:2" ht="23">
      <c r="A5" s="28" t="s">
        <v>191</v>
      </c>
    </row>
    <row r="6" spans="1:2" ht="105">
      <c r="A6" s="1" t="s">
        <v>55</v>
      </c>
    </row>
    <row r="8" spans="1:2" ht="23">
      <c r="A8" s="29" t="s">
        <v>192</v>
      </c>
    </row>
    <row r="9" spans="1:2" ht="147">
      <c r="A9" s="1" t="s">
        <v>56</v>
      </c>
    </row>
  </sheetData>
  <phoneticPr fontId="3"/>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62F-881D-6E42-BC2E-F03247FD9000}">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2" t="s">
        <v>216</v>
      </c>
    </row>
    <row r="3" spans="1:2" ht="21">
      <c r="A3" s="32" t="s">
        <v>1</v>
      </c>
      <c r="B3" s="32" t="s">
        <v>45</v>
      </c>
    </row>
    <row r="4" spans="1:2" ht="21">
      <c r="A4" s="32" t="s">
        <v>2</v>
      </c>
      <c r="B4" s="32" t="s">
        <v>54</v>
      </c>
    </row>
    <row r="5" spans="1:2" ht="21">
      <c r="A5" s="32" t="s">
        <v>253</v>
      </c>
      <c r="B5" s="32" t="s">
        <v>55</v>
      </c>
    </row>
    <row r="6" spans="1:2" ht="105">
      <c r="A6" s="34" t="s">
        <v>288</v>
      </c>
      <c r="B6" s="34" t="s">
        <v>352</v>
      </c>
    </row>
    <row r="7" spans="1:2" ht="84">
      <c r="A7" s="35" t="s">
        <v>255</v>
      </c>
      <c r="B7" s="35" t="s">
        <v>353</v>
      </c>
    </row>
    <row r="8" spans="1:2" ht="21">
      <c r="A8" s="36" t="s">
        <v>289</v>
      </c>
      <c r="B8" s="36" t="s">
        <v>354</v>
      </c>
    </row>
    <row r="9" spans="1:2" ht="21">
      <c r="A9" s="32" t="s">
        <v>291</v>
      </c>
      <c r="B9" s="32" t="s">
        <v>355</v>
      </c>
    </row>
  </sheetData>
  <phoneticPr fontId="3"/>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8E61-E8B7-784B-9E0D-F5B55324B79A}">
  <dimension ref="A1:B9"/>
  <sheetViews>
    <sheetView workbookViewId="0"/>
  </sheetViews>
  <sheetFormatPr baseColWidth="10" defaultRowHeight="20"/>
  <cols>
    <col min="1" max="1" width="17.140625" customWidth="1"/>
    <col min="2" max="2" width="57.140625" customWidth="1"/>
  </cols>
  <sheetData>
    <row r="1" spans="1:2">
      <c r="A1" s="27" t="s">
        <v>189</v>
      </c>
      <c r="B1" s="26" t="s">
        <v>217</v>
      </c>
    </row>
    <row r="2" spans="1:2">
      <c r="A2" s="27" t="s">
        <v>1</v>
      </c>
      <c r="B2" s="26" t="s">
        <v>45</v>
      </c>
    </row>
    <row r="3" spans="1:2">
      <c r="A3" s="27" t="s">
        <v>2</v>
      </c>
      <c r="B3" s="26" t="s">
        <v>57</v>
      </c>
    </row>
    <row r="5" spans="1:2" ht="23">
      <c r="A5" s="28" t="s">
        <v>191</v>
      </c>
    </row>
    <row r="6" spans="1:2" ht="147">
      <c r="A6" s="1" t="s">
        <v>83</v>
      </c>
    </row>
    <row r="8" spans="1:2" ht="23">
      <c r="A8" s="29" t="s">
        <v>192</v>
      </c>
    </row>
    <row r="9" spans="1:2" ht="168">
      <c r="A9" s="1" t="s">
        <v>188</v>
      </c>
    </row>
  </sheetData>
  <phoneticPr fontId="3"/>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8A7E-12D5-244D-99B7-61574F594F8A}">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358</v>
      </c>
      <c r="B1" s="33" t="s">
        <v>359</v>
      </c>
    </row>
    <row r="2" spans="1:2" ht="21">
      <c r="A2" s="32" t="s">
        <v>189</v>
      </c>
      <c r="B2" s="32" t="s">
        <v>217</v>
      </c>
    </row>
    <row r="3" spans="1:2" ht="21">
      <c r="A3" s="32" t="s">
        <v>1</v>
      </c>
      <c r="B3" s="32" t="s">
        <v>45</v>
      </c>
    </row>
    <row r="4" spans="1:2" ht="21">
      <c r="A4" s="32" t="s">
        <v>2</v>
      </c>
      <c r="B4" s="32" t="s">
        <v>57</v>
      </c>
    </row>
    <row r="5" spans="1:2" ht="21">
      <c r="A5" s="32" t="s">
        <v>253</v>
      </c>
      <c r="B5" s="32" t="s">
        <v>83</v>
      </c>
    </row>
    <row r="6" spans="1:2" ht="84">
      <c r="A6" s="34" t="s">
        <v>288</v>
      </c>
      <c r="B6" s="38" t="s">
        <v>362</v>
      </c>
    </row>
    <row r="7" spans="1:2" ht="84">
      <c r="A7" s="35" t="s">
        <v>255</v>
      </c>
      <c r="B7" s="39" t="s">
        <v>361</v>
      </c>
    </row>
    <row r="8" spans="1:2" ht="21">
      <c r="A8" s="36" t="s">
        <v>289</v>
      </c>
      <c r="B8" s="40" t="s">
        <v>363</v>
      </c>
    </row>
    <row r="9" spans="1:2" ht="21">
      <c r="A9" s="32" t="s">
        <v>291</v>
      </c>
      <c r="B9" s="32" t="s">
        <v>364</v>
      </c>
    </row>
  </sheetData>
  <phoneticPr fontId="3"/>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53A7-F711-FD4F-B21C-6998F02F93DB}">
  <dimension ref="A1:B9"/>
  <sheetViews>
    <sheetView workbookViewId="0"/>
  </sheetViews>
  <sheetFormatPr baseColWidth="10" defaultRowHeight="20"/>
  <cols>
    <col min="1" max="1" width="17.140625" customWidth="1"/>
    <col min="2" max="2" width="57.140625" customWidth="1"/>
  </cols>
  <sheetData>
    <row r="1" spans="1:2">
      <c r="A1" s="27" t="s">
        <v>189</v>
      </c>
      <c r="B1" s="26" t="s">
        <v>218</v>
      </c>
    </row>
    <row r="2" spans="1:2">
      <c r="A2" s="27" t="s">
        <v>1</v>
      </c>
      <c r="B2" s="26" t="s">
        <v>45</v>
      </c>
    </row>
    <row r="3" spans="1:2">
      <c r="A3" s="27" t="s">
        <v>2</v>
      </c>
      <c r="B3" s="26" t="s">
        <v>84</v>
      </c>
    </row>
    <row r="5" spans="1:2" ht="23">
      <c r="A5" s="28" t="s">
        <v>191</v>
      </c>
    </row>
    <row r="6" spans="1:2" ht="189">
      <c r="A6" s="1" t="s">
        <v>85</v>
      </c>
    </row>
    <row r="8" spans="1:2" ht="23">
      <c r="A8" s="29" t="s">
        <v>192</v>
      </c>
    </row>
    <row r="9" spans="1:2" ht="105">
      <c r="A9" s="1" t="s">
        <v>252</v>
      </c>
    </row>
  </sheetData>
  <phoneticPr fontId="3"/>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B677-D44A-434E-8FE1-B2134AB41E2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218</v>
      </c>
    </row>
    <row r="3" spans="1:2" ht="21">
      <c r="A3" s="32" t="s">
        <v>1</v>
      </c>
      <c r="B3" s="37" t="s">
        <v>45</v>
      </c>
    </row>
    <row r="4" spans="1:2" ht="21">
      <c r="A4" s="32" t="s">
        <v>2</v>
      </c>
      <c r="B4" s="37" t="s">
        <v>84</v>
      </c>
    </row>
    <row r="5" spans="1:2" ht="42">
      <c r="A5" s="32" t="s">
        <v>253</v>
      </c>
      <c r="B5" s="37" t="s">
        <v>85</v>
      </c>
    </row>
    <row r="6" spans="1:2" ht="84">
      <c r="A6" s="34" t="s">
        <v>288</v>
      </c>
      <c r="B6" s="38" t="s">
        <v>365</v>
      </c>
    </row>
    <row r="7" spans="1:2" ht="105">
      <c r="A7" s="35" t="s">
        <v>255</v>
      </c>
      <c r="B7" s="39" t="s">
        <v>366</v>
      </c>
    </row>
    <row r="8" spans="1:2" ht="21">
      <c r="A8" s="36" t="s">
        <v>289</v>
      </c>
      <c r="B8" s="40" t="s">
        <v>367</v>
      </c>
    </row>
    <row r="9" spans="1:2" ht="21">
      <c r="A9" s="32" t="s">
        <v>291</v>
      </c>
      <c r="B9" s="37" t="s">
        <v>368</v>
      </c>
    </row>
  </sheetData>
  <phoneticPr fontId="3"/>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B94C9-B4E3-334D-B42B-BD82541D3DF8}">
  <dimension ref="A1:B9"/>
  <sheetViews>
    <sheetView workbookViewId="0"/>
  </sheetViews>
  <sheetFormatPr baseColWidth="10" defaultRowHeight="20"/>
  <cols>
    <col min="1" max="1" width="17.140625" customWidth="1"/>
    <col min="2" max="2" width="57.140625" customWidth="1"/>
  </cols>
  <sheetData>
    <row r="1" spans="1:2">
      <c r="A1" s="27" t="s">
        <v>189</v>
      </c>
      <c r="B1" s="26" t="s">
        <v>219</v>
      </c>
    </row>
    <row r="2" spans="1:2">
      <c r="A2" s="27" t="s">
        <v>1</v>
      </c>
      <c r="B2" s="26" t="s">
        <v>45</v>
      </c>
    </row>
    <row r="3" spans="1:2">
      <c r="A3" s="27" t="s">
        <v>2</v>
      </c>
      <c r="B3" s="26" t="s">
        <v>86</v>
      </c>
    </row>
    <row r="5" spans="1:2" ht="23">
      <c r="A5" s="28" t="s">
        <v>191</v>
      </c>
    </row>
    <row r="6" spans="1:2" ht="168">
      <c r="A6" s="1" t="s">
        <v>87</v>
      </c>
    </row>
    <row r="8" spans="1:2" ht="23">
      <c r="A8" s="29" t="s">
        <v>192</v>
      </c>
    </row>
    <row r="9" spans="1:2" ht="189">
      <c r="A9" s="1" t="s">
        <v>88</v>
      </c>
    </row>
  </sheetData>
  <phoneticPr fontId="3"/>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707C-9EA3-D243-8873-1F673FD75A82}">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219</v>
      </c>
    </row>
    <row r="3" spans="1:2" ht="21">
      <c r="A3" s="32" t="s">
        <v>1</v>
      </c>
      <c r="B3" s="37" t="s">
        <v>45</v>
      </c>
    </row>
    <row r="4" spans="1:2" ht="21">
      <c r="A4" s="32" t="s">
        <v>2</v>
      </c>
      <c r="B4" s="37" t="s">
        <v>86</v>
      </c>
    </row>
    <row r="5" spans="1:2" ht="21">
      <c r="A5" s="32" t="s">
        <v>253</v>
      </c>
      <c r="B5" s="37" t="s">
        <v>87</v>
      </c>
    </row>
    <row r="6" spans="1:2" ht="84">
      <c r="A6" s="34" t="s">
        <v>288</v>
      </c>
      <c r="B6" s="38" t="s">
        <v>369</v>
      </c>
    </row>
    <row r="7" spans="1:2" ht="84">
      <c r="A7" s="35" t="s">
        <v>255</v>
      </c>
      <c r="B7" s="39" t="s">
        <v>370</v>
      </c>
    </row>
    <row r="8" spans="1:2" ht="42">
      <c r="A8" s="36" t="s">
        <v>289</v>
      </c>
      <c r="B8" s="40" t="s">
        <v>371</v>
      </c>
    </row>
    <row r="9" spans="1:2" ht="21">
      <c r="A9" s="32" t="s">
        <v>291</v>
      </c>
      <c r="B9" s="37" t="s">
        <v>372</v>
      </c>
    </row>
  </sheetData>
  <phoneticPr fontId="3"/>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8D66-1B6C-9948-8E0E-9EDEA6197CE3}">
  <dimension ref="A1:B9"/>
  <sheetViews>
    <sheetView workbookViewId="0"/>
  </sheetViews>
  <sheetFormatPr baseColWidth="10" defaultRowHeight="20"/>
  <cols>
    <col min="1" max="1" width="17.140625" customWidth="1"/>
    <col min="2" max="2" width="57.140625" customWidth="1"/>
  </cols>
  <sheetData>
    <row r="1" spans="1:2">
      <c r="A1" s="27" t="s">
        <v>189</v>
      </c>
      <c r="B1" s="26" t="s">
        <v>220</v>
      </c>
    </row>
    <row r="2" spans="1:2">
      <c r="A2" s="27" t="s">
        <v>1</v>
      </c>
      <c r="B2" s="26" t="s">
        <v>45</v>
      </c>
    </row>
    <row r="3" spans="1:2">
      <c r="A3" s="27" t="s">
        <v>2</v>
      </c>
      <c r="B3" s="26" t="s">
        <v>89</v>
      </c>
    </row>
    <row r="5" spans="1:2" ht="23">
      <c r="A5" s="28" t="s">
        <v>191</v>
      </c>
    </row>
    <row r="6" spans="1:2" ht="168">
      <c r="A6" s="1" t="s">
        <v>90</v>
      </c>
    </row>
    <row r="8" spans="1:2" ht="23">
      <c r="A8" s="29" t="s">
        <v>192</v>
      </c>
    </row>
    <row r="9" spans="1:2" ht="210">
      <c r="A9" s="1" t="s">
        <v>91</v>
      </c>
    </row>
  </sheetData>
  <phoneticPr fontId="3"/>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7EDF-0E50-CA4F-8F47-8EB1BBBC1B62}">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220</v>
      </c>
    </row>
    <row r="3" spans="1:2" ht="21">
      <c r="A3" s="32" t="s">
        <v>1</v>
      </c>
      <c r="B3" s="37" t="s">
        <v>45</v>
      </c>
    </row>
    <row r="4" spans="1:2" ht="21">
      <c r="A4" s="32" t="s">
        <v>2</v>
      </c>
      <c r="B4" s="37" t="s">
        <v>89</v>
      </c>
    </row>
    <row r="5" spans="1:2" ht="21">
      <c r="A5" s="32" t="s">
        <v>253</v>
      </c>
      <c r="B5" s="37" t="s">
        <v>90</v>
      </c>
    </row>
    <row r="6" spans="1:2" ht="105">
      <c r="A6" s="34" t="s">
        <v>288</v>
      </c>
      <c r="B6" s="38" t="s">
        <v>373</v>
      </c>
    </row>
    <row r="7" spans="1:2" ht="84">
      <c r="A7" s="35" t="s">
        <v>255</v>
      </c>
      <c r="B7" s="39" t="s">
        <v>374</v>
      </c>
    </row>
    <row r="8" spans="1:2" ht="21">
      <c r="A8" s="36" t="s">
        <v>289</v>
      </c>
      <c r="B8" s="40" t="s">
        <v>375</v>
      </c>
    </row>
    <row r="9" spans="1:2" ht="21">
      <c r="A9" s="32" t="s">
        <v>291</v>
      </c>
      <c r="B9" s="37" t="s">
        <v>376</v>
      </c>
    </row>
  </sheetData>
  <phoneticPr fontId="3"/>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5559-ECF4-254B-8C5C-077E723EA252}">
  <dimension ref="A1:B9"/>
  <sheetViews>
    <sheetView workbookViewId="0"/>
  </sheetViews>
  <sheetFormatPr baseColWidth="10" defaultRowHeight="20"/>
  <cols>
    <col min="1" max="1" width="17.140625" customWidth="1"/>
    <col min="2" max="2" width="57.140625" customWidth="1"/>
  </cols>
  <sheetData>
    <row r="1" spans="1:2">
      <c r="A1" s="27" t="s">
        <v>189</v>
      </c>
      <c r="B1" s="26" t="s">
        <v>221</v>
      </c>
    </row>
    <row r="2" spans="1:2">
      <c r="A2" s="27" t="s">
        <v>1</v>
      </c>
      <c r="B2" s="26" t="s">
        <v>45</v>
      </c>
    </row>
    <row r="3" spans="1:2">
      <c r="A3" s="27" t="s">
        <v>2</v>
      </c>
      <c r="B3" s="26" t="s">
        <v>92</v>
      </c>
    </row>
    <row r="5" spans="1:2" ht="23">
      <c r="A5" s="28" t="s">
        <v>191</v>
      </c>
    </row>
    <row r="6" spans="1:2" ht="147">
      <c r="A6" s="1" t="s">
        <v>93</v>
      </c>
    </row>
    <row r="8" spans="1:2" ht="23">
      <c r="A8" s="29" t="s">
        <v>192</v>
      </c>
    </row>
    <row r="9" spans="1:2" ht="189">
      <c r="A9" s="1" t="s">
        <v>94</v>
      </c>
    </row>
  </sheetData>
  <phoneticPr fontId="3"/>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C51E-653E-2648-AC96-EC72962A1D2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221</v>
      </c>
    </row>
    <row r="3" spans="1:2" ht="21">
      <c r="A3" s="32" t="s">
        <v>1</v>
      </c>
      <c r="B3" s="37" t="s">
        <v>45</v>
      </c>
    </row>
    <row r="4" spans="1:2" ht="21">
      <c r="A4" s="32" t="s">
        <v>2</v>
      </c>
      <c r="B4" s="37" t="s">
        <v>92</v>
      </c>
    </row>
    <row r="5" spans="1:2" ht="21">
      <c r="A5" s="32" t="s">
        <v>253</v>
      </c>
      <c r="B5" s="37" t="s">
        <v>93</v>
      </c>
    </row>
    <row r="6" spans="1:2" ht="126">
      <c r="A6" s="34" t="s">
        <v>288</v>
      </c>
      <c r="B6" s="38" t="s">
        <v>377</v>
      </c>
    </row>
    <row r="7" spans="1:2" ht="84">
      <c r="A7" s="35" t="s">
        <v>255</v>
      </c>
      <c r="B7" s="39" t="s">
        <v>378</v>
      </c>
    </row>
    <row r="8" spans="1:2" ht="21">
      <c r="A8" s="36" t="s">
        <v>289</v>
      </c>
      <c r="B8" s="40" t="s">
        <v>379</v>
      </c>
    </row>
    <row r="9" spans="1:2" ht="21">
      <c r="A9" s="32" t="s">
        <v>291</v>
      </c>
      <c r="B9" s="37" t="s">
        <v>380</v>
      </c>
    </row>
  </sheetData>
  <phoneticPr fontId="3"/>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815C-B059-7D49-99E0-24FFE0F7565E}">
  <dimension ref="A1:B9"/>
  <sheetViews>
    <sheetView workbookViewId="0"/>
  </sheetViews>
  <sheetFormatPr baseColWidth="10" defaultRowHeight="20"/>
  <cols>
    <col min="1" max="1" width="17.140625" customWidth="1"/>
    <col min="2" max="2" width="57.140625" customWidth="1"/>
  </cols>
  <sheetData>
    <row r="1" spans="1:2">
      <c r="A1" s="27" t="s">
        <v>189</v>
      </c>
      <c r="B1" s="26" t="s">
        <v>222</v>
      </c>
    </row>
    <row r="2" spans="1:2">
      <c r="A2" s="27" t="s">
        <v>1</v>
      </c>
      <c r="B2" s="26" t="s">
        <v>45</v>
      </c>
    </row>
    <row r="3" spans="1:2">
      <c r="A3" s="27" t="s">
        <v>2</v>
      </c>
      <c r="B3" s="26" t="s">
        <v>95</v>
      </c>
    </row>
    <row r="5" spans="1:2" ht="23">
      <c r="A5" s="28" t="s">
        <v>191</v>
      </c>
    </row>
    <row r="6" spans="1:2" ht="189">
      <c r="A6" s="1" t="s">
        <v>96</v>
      </c>
    </row>
    <row r="8" spans="1:2" ht="23">
      <c r="A8" s="29" t="s">
        <v>192</v>
      </c>
    </row>
    <row r="9" spans="1:2" ht="231">
      <c r="A9" s="1" t="s">
        <v>97</v>
      </c>
    </row>
  </sheetData>
  <phoneticPr fontId="3"/>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82A2-43DC-5848-B4F1-54FF8D7A7696}">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222</v>
      </c>
    </row>
    <row r="3" spans="1:2" ht="21">
      <c r="A3" s="32" t="s">
        <v>1</v>
      </c>
      <c r="B3" s="37" t="s">
        <v>45</v>
      </c>
    </row>
    <row r="4" spans="1:2" ht="21">
      <c r="A4" s="32" t="s">
        <v>2</v>
      </c>
      <c r="B4" s="37" t="s">
        <v>95</v>
      </c>
    </row>
    <row r="5" spans="1:2" ht="42">
      <c r="A5" s="32" t="s">
        <v>253</v>
      </c>
      <c r="B5" s="37" t="s">
        <v>96</v>
      </c>
    </row>
    <row r="6" spans="1:2" ht="105">
      <c r="A6" s="34" t="s">
        <v>288</v>
      </c>
      <c r="B6" s="38" t="s">
        <v>381</v>
      </c>
    </row>
    <row r="7" spans="1:2" ht="84">
      <c r="A7" s="35" t="s">
        <v>255</v>
      </c>
      <c r="B7" s="39" t="s">
        <v>382</v>
      </c>
    </row>
    <row r="8" spans="1:2" ht="21">
      <c r="A8" s="36" t="s">
        <v>289</v>
      </c>
      <c r="B8" s="40" t="s">
        <v>383</v>
      </c>
    </row>
    <row r="9" spans="1:2" ht="21">
      <c r="A9" s="32" t="s">
        <v>291</v>
      </c>
      <c r="B9" s="37" t="s">
        <v>384</v>
      </c>
    </row>
  </sheetData>
  <phoneticPr fontId="3"/>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A0FA-198C-8D4B-A146-C35FC8F002BC}">
  <dimension ref="A1:B9"/>
  <sheetViews>
    <sheetView workbookViewId="0"/>
  </sheetViews>
  <sheetFormatPr baseColWidth="10" defaultRowHeight="20"/>
  <cols>
    <col min="1" max="1" width="17.140625" customWidth="1"/>
    <col min="2" max="2" width="57.140625" customWidth="1"/>
  </cols>
  <sheetData>
    <row r="1" spans="1:2">
      <c r="A1" s="27" t="s">
        <v>189</v>
      </c>
      <c r="B1" s="26" t="s">
        <v>223</v>
      </c>
    </row>
    <row r="2" spans="1:2">
      <c r="A2" s="27" t="s">
        <v>1</v>
      </c>
      <c r="B2" s="26" t="s">
        <v>45</v>
      </c>
    </row>
    <row r="3" spans="1:2">
      <c r="A3" s="27" t="s">
        <v>2</v>
      </c>
      <c r="B3" s="26" t="s">
        <v>98</v>
      </c>
    </row>
    <row r="5" spans="1:2" ht="23">
      <c r="A5" s="28" t="s">
        <v>191</v>
      </c>
    </row>
    <row r="6" spans="1:2" ht="210">
      <c r="A6" s="1" t="s">
        <v>99</v>
      </c>
    </row>
    <row r="8" spans="1:2" ht="23">
      <c r="A8" s="29" t="s">
        <v>192</v>
      </c>
    </row>
    <row r="9" spans="1:2" ht="189">
      <c r="A9" s="1" t="s">
        <v>100</v>
      </c>
    </row>
  </sheetData>
  <phoneticPr fontId="3"/>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85E45-5B3F-C243-BA6D-DED23E0FED0E}">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223</v>
      </c>
    </row>
    <row r="3" spans="1:2" ht="21">
      <c r="A3" s="32" t="s">
        <v>1</v>
      </c>
      <c r="B3" s="37" t="s">
        <v>45</v>
      </c>
    </row>
    <row r="4" spans="1:2" ht="21">
      <c r="A4" s="32" t="s">
        <v>2</v>
      </c>
      <c r="B4" s="37" t="s">
        <v>98</v>
      </c>
    </row>
    <row r="5" spans="1:2" ht="42">
      <c r="A5" s="32" t="s">
        <v>253</v>
      </c>
      <c r="B5" s="37" t="s">
        <v>99</v>
      </c>
    </row>
    <row r="6" spans="1:2" ht="126">
      <c r="A6" s="34" t="s">
        <v>288</v>
      </c>
      <c r="B6" s="38" t="s">
        <v>385</v>
      </c>
    </row>
    <row r="7" spans="1:2" ht="84">
      <c r="A7" s="35" t="s">
        <v>255</v>
      </c>
      <c r="B7" s="39" t="s">
        <v>386</v>
      </c>
    </row>
    <row r="8" spans="1:2" ht="21">
      <c r="A8" s="36" t="s">
        <v>289</v>
      </c>
      <c r="B8" s="40" t="s">
        <v>387</v>
      </c>
    </row>
    <row r="9" spans="1:2" ht="21">
      <c r="A9" s="32" t="s">
        <v>291</v>
      </c>
      <c r="B9" s="37" t="s">
        <v>388</v>
      </c>
    </row>
  </sheetData>
  <phoneticPr fontId="3"/>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BDDD-1547-5A46-9A65-ADDCB885734D}">
  <dimension ref="A1:B9"/>
  <sheetViews>
    <sheetView workbookViewId="0"/>
  </sheetViews>
  <sheetFormatPr baseColWidth="10" defaultRowHeight="20"/>
  <cols>
    <col min="1" max="1" width="17.140625" customWidth="1"/>
    <col min="2" max="2" width="57.140625" customWidth="1"/>
  </cols>
  <sheetData>
    <row r="1" spans="1:2">
      <c r="A1" s="27" t="s">
        <v>189</v>
      </c>
      <c r="B1" s="26" t="s">
        <v>224</v>
      </c>
    </row>
    <row r="2" spans="1:2">
      <c r="A2" s="27" t="s">
        <v>1</v>
      </c>
      <c r="B2" s="26" t="s">
        <v>45</v>
      </c>
    </row>
    <row r="3" spans="1:2">
      <c r="A3" s="27" t="s">
        <v>2</v>
      </c>
      <c r="B3" s="26" t="s">
        <v>101</v>
      </c>
    </row>
    <row r="5" spans="1:2" ht="23">
      <c r="A5" s="28" t="s">
        <v>191</v>
      </c>
    </row>
    <row r="6" spans="1:2" ht="210">
      <c r="A6" s="1" t="s">
        <v>102</v>
      </c>
    </row>
    <row r="8" spans="1:2" ht="23">
      <c r="A8" s="29" t="s">
        <v>192</v>
      </c>
    </row>
    <row r="9" spans="1:2" ht="231">
      <c r="A9" s="1" t="s">
        <v>103</v>
      </c>
    </row>
  </sheetData>
  <phoneticPr fontId="3"/>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FDFF-6DF0-8E46-8B50-7641FB8A422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224</v>
      </c>
    </row>
    <row r="3" spans="1:2" ht="21">
      <c r="A3" s="32" t="s">
        <v>1</v>
      </c>
      <c r="B3" s="37" t="s">
        <v>45</v>
      </c>
    </row>
    <row r="4" spans="1:2" ht="21">
      <c r="A4" s="32" t="s">
        <v>2</v>
      </c>
      <c r="B4" s="37" t="s">
        <v>101</v>
      </c>
    </row>
    <row r="5" spans="1:2" ht="42">
      <c r="A5" s="32" t="s">
        <v>253</v>
      </c>
      <c r="B5" s="37" t="s">
        <v>102</v>
      </c>
    </row>
    <row r="6" spans="1:2" ht="126">
      <c r="A6" s="34" t="s">
        <v>288</v>
      </c>
      <c r="B6" s="38" t="s">
        <v>389</v>
      </c>
    </row>
    <row r="7" spans="1:2" ht="105">
      <c r="A7" s="35" t="s">
        <v>255</v>
      </c>
      <c r="B7" s="39" t="s">
        <v>390</v>
      </c>
    </row>
    <row r="8" spans="1:2" ht="42">
      <c r="A8" s="36" t="s">
        <v>289</v>
      </c>
      <c r="B8" s="40" t="s">
        <v>391</v>
      </c>
    </row>
    <row r="9" spans="1:2" ht="21">
      <c r="A9" s="32" t="s">
        <v>291</v>
      </c>
      <c r="B9" s="37" t="s">
        <v>372</v>
      </c>
    </row>
  </sheetData>
  <phoneticPr fontId="3"/>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C456-A66A-2048-9AAA-74AE8B05FC85}">
  <dimension ref="A1:B9"/>
  <sheetViews>
    <sheetView workbookViewId="0"/>
  </sheetViews>
  <sheetFormatPr baseColWidth="10" defaultRowHeight="20"/>
  <cols>
    <col min="1" max="1" width="17.140625" customWidth="1"/>
    <col min="2" max="2" width="57.140625" customWidth="1"/>
  </cols>
  <sheetData>
    <row r="1" spans="1:2">
      <c r="A1" s="27" t="s">
        <v>189</v>
      </c>
      <c r="B1" s="26" t="s">
        <v>225</v>
      </c>
    </row>
    <row r="2" spans="1:2">
      <c r="A2" s="27" t="s">
        <v>1</v>
      </c>
      <c r="B2" s="26" t="s">
        <v>45</v>
      </c>
    </row>
    <row r="3" spans="1:2">
      <c r="A3" s="27" t="s">
        <v>2</v>
      </c>
      <c r="B3" s="26" t="s">
        <v>104</v>
      </c>
    </row>
    <row r="5" spans="1:2" ht="23">
      <c r="A5" s="28" t="s">
        <v>191</v>
      </c>
    </row>
    <row r="6" spans="1:2" ht="168">
      <c r="A6" s="1" t="s">
        <v>105</v>
      </c>
    </row>
    <row r="8" spans="1:2" ht="23">
      <c r="A8" s="29" t="s">
        <v>192</v>
      </c>
    </row>
    <row r="9" spans="1:2" ht="189">
      <c r="A9" s="1" t="s">
        <v>106</v>
      </c>
    </row>
  </sheetData>
  <phoneticPr fontId="3"/>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3715-C6A2-CE46-B625-B2B4FDC818CA}">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225</v>
      </c>
    </row>
    <row r="3" spans="1:2" ht="21">
      <c r="A3" s="32" t="s">
        <v>1</v>
      </c>
      <c r="B3" s="37" t="s">
        <v>45</v>
      </c>
    </row>
    <row r="4" spans="1:2" ht="21">
      <c r="A4" s="32" t="s">
        <v>2</v>
      </c>
      <c r="B4" s="37" t="s">
        <v>104</v>
      </c>
    </row>
    <row r="5" spans="1:2" ht="21">
      <c r="A5" s="32" t="s">
        <v>253</v>
      </c>
      <c r="B5" s="37" t="s">
        <v>105</v>
      </c>
    </row>
    <row r="6" spans="1:2" ht="105">
      <c r="A6" s="34" t="s">
        <v>288</v>
      </c>
      <c r="B6" s="38" t="s">
        <v>392</v>
      </c>
    </row>
    <row r="7" spans="1:2" ht="84">
      <c r="A7" s="35" t="s">
        <v>255</v>
      </c>
      <c r="B7" s="39" t="s">
        <v>393</v>
      </c>
    </row>
    <row r="8" spans="1:2" ht="21">
      <c r="A8" s="36" t="s">
        <v>289</v>
      </c>
      <c r="B8" s="40" t="s">
        <v>394</v>
      </c>
    </row>
    <row r="9" spans="1:2" ht="21">
      <c r="A9" s="32" t="s">
        <v>291</v>
      </c>
      <c r="B9" s="37" t="s">
        <v>372</v>
      </c>
    </row>
  </sheetData>
  <phoneticPr fontId="3"/>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497E-A42A-5D4C-990E-FD147A9BDCDD}">
  <dimension ref="A1:B9"/>
  <sheetViews>
    <sheetView workbookViewId="0"/>
  </sheetViews>
  <sheetFormatPr baseColWidth="10" defaultRowHeight="20"/>
  <cols>
    <col min="1" max="1" width="17.140625" customWidth="1"/>
    <col min="2" max="2" width="57.140625" customWidth="1"/>
  </cols>
  <sheetData>
    <row r="1" spans="1:2">
      <c r="A1" s="27" t="s">
        <v>189</v>
      </c>
      <c r="B1" s="26" t="s">
        <v>226</v>
      </c>
    </row>
    <row r="2" spans="1:2">
      <c r="A2" s="27" t="s">
        <v>1</v>
      </c>
      <c r="B2" s="26" t="s">
        <v>45</v>
      </c>
    </row>
    <row r="3" spans="1:2">
      <c r="A3" s="27" t="s">
        <v>2</v>
      </c>
      <c r="B3" s="26" t="s">
        <v>107</v>
      </c>
    </row>
    <row r="5" spans="1:2" ht="23">
      <c r="A5" s="28" t="s">
        <v>191</v>
      </c>
    </row>
    <row r="6" spans="1:2" ht="168">
      <c r="A6" s="1" t="s">
        <v>108</v>
      </c>
    </row>
    <row r="8" spans="1:2" ht="23">
      <c r="A8" s="29" t="s">
        <v>192</v>
      </c>
    </row>
    <row r="9" spans="1:2" ht="189">
      <c r="A9" s="1" t="s">
        <v>109</v>
      </c>
    </row>
  </sheetData>
  <phoneticPr fontId="3"/>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A34B2-15BB-8E46-B56F-A6ED866F151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226</v>
      </c>
    </row>
    <row r="3" spans="1:2" ht="21">
      <c r="A3" s="32" t="s">
        <v>1</v>
      </c>
      <c r="B3" s="37" t="s">
        <v>45</v>
      </c>
    </row>
    <row r="4" spans="1:2" ht="21">
      <c r="A4" s="32" t="s">
        <v>2</v>
      </c>
      <c r="B4" s="37" t="s">
        <v>107</v>
      </c>
    </row>
    <row r="5" spans="1:2" ht="21">
      <c r="A5" s="32" t="s">
        <v>253</v>
      </c>
      <c r="B5" s="37" t="s">
        <v>108</v>
      </c>
    </row>
    <row r="6" spans="1:2" ht="147">
      <c r="A6" s="34" t="s">
        <v>288</v>
      </c>
      <c r="B6" s="38" t="s">
        <v>395</v>
      </c>
    </row>
    <row r="7" spans="1:2" ht="84">
      <c r="A7" s="35" t="s">
        <v>255</v>
      </c>
      <c r="B7" s="39" t="s">
        <v>396</v>
      </c>
    </row>
    <row r="8" spans="1:2" ht="21">
      <c r="A8" s="36" t="s">
        <v>289</v>
      </c>
      <c r="B8" s="40" t="s">
        <v>397</v>
      </c>
    </row>
    <row r="9" spans="1:2" ht="21">
      <c r="A9" s="32" t="s">
        <v>291</v>
      </c>
      <c r="B9" s="37" t="s">
        <v>372</v>
      </c>
    </row>
  </sheetData>
  <phoneticPr fontId="3"/>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5B1F6-0762-5B40-AD3C-0E3AB4667418}">
  <dimension ref="A1:B9"/>
  <sheetViews>
    <sheetView workbookViewId="0"/>
  </sheetViews>
  <sheetFormatPr baseColWidth="10" defaultRowHeight="20"/>
  <cols>
    <col min="1" max="1" width="17.140625" customWidth="1"/>
    <col min="2" max="2" width="57.140625" customWidth="1"/>
  </cols>
  <sheetData>
    <row r="1" spans="1:2">
      <c r="A1" s="27" t="s">
        <v>189</v>
      </c>
      <c r="B1" s="26" t="s">
        <v>227</v>
      </c>
    </row>
    <row r="2" spans="1:2">
      <c r="A2" s="27" t="s">
        <v>1</v>
      </c>
      <c r="B2" s="26" t="s">
        <v>110</v>
      </c>
    </row>
    <row r="3" spans="1:2">
      <c r="A3" s="27" t="s">
        <v>2</v>
      </c>
      <c r="B3" s="26" t="s">
        <v>111</v>
      </c>
    </row>
    <row r="5" spans="1:2" ht="23">
      <c r="A5" s="28" t="s">
        <v>191</v>
      </c>
    </row>
    <row r="6" spans="1:2" ht="189">
      <c r="A6" s="1" t="s">
        <v>112</v>
      </c>
    </row>
    <row r="8" spans="1:2" ht="23">
      <c r="A8" s="29" t="s">
        <v>192</v>
      </c>
    </row>
    <row r="9" spans="1:2" ht="252">
      <c r="A9" s="1" t="s">
        <v>113</v>
      </c>
    </row>
  </sheetData>
  <phoneticPr fontId="3"/>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C6B2-9471-D642-9179-8C21F89F2BA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227</v>
      </c>
    </row>
    <row r="3" spans="1:2" ht="21">
      <c r="A3" s="32" t="s">
        <v>1</v>
      </c>
      <c r="B3" s="37" t="s">
        <v>110</v>
      </c>
    </row>
    <row r="4" spans="1:2" ht="21">
      <c r="A4" s="32" t="s">
        <v>2</v>
      </c>
      <c r="B4" s="37" t="s">
        <v>111</v>
      </c>
    </row>
    <row r="5" spans="1:2" ht="21">
      <c r="A5" s="32" t="s">
        <v>253</v>
      </c>
      <c r="B5" s="37" t="s">
        <v>112</v>
      </c>
    </row>
    <row r="6" spans="1:2" ht="126">
      <c r="A6" s="34" t="s">
        <v>288</v>
      </c>
      <c r="B6" s="38" t="s">
        <v>398</v>
      </c>
    </row>
    <row r="7" spans="1:2" ht="84">
      <c r="A7" s="35" t="s">
        <v>255</v>
      </c>
      <c r="B7" s="39" t="s">
        <v>399</v>
      </c>
    </row>
    <row r="8" spans="1:2" ht="21">
      <c r="A8" s="36" t="s">
        <v>289</v>
      </c>
      <c r="B8" s="40" t="s">
        <v>400</v>
      </c>
    </row>
    <row r="9" spans="1:2" ht="21">
      <c r="A9" s="32" t="s">
        <v>291</v>
      </c>
      <c r="B9" s="37" t="s">
        <v>401</v>
      </c>
    </row>
  </sheetData>
  <phoneticPr fontId="3"/>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67BD-C741-0748-A7F9-0748E71565EA}">
  <dimension ref="A1:B9"/>
  <sheetViews>
    <sheetView workbookViewId="0"/>
  </sheetViews>
  <sheetFormatPr baseColWidth="10" defaultRowHeight="20"/>
  <cols>
    <col min="1" max="1" width="17.140625" customWidth="1"/>
    <col min="2" max="2" width="57.140625" customWidth="1"/>
  </cols>
  <sheetData>
    <row r="1" spans="1:2">
      <c r="A1" s="27" t="s">
        <v>189</v>
      </c>
      <c r="B1" s="26" t="s">
        <v>228</v>
      </c>
    </row>
    <row r="2" spans="1:2">
      <c r="A2" s="27" t="s">
        <v>1</v>
      </c>
      <c r="B2" s="26" t="s">
        <v>110</v>
      </c>
    </row>
    <row r="3" spans="1:2">
      <c r="A3" s="27" t="s">
        <v>2</v>
      </c>
      <c r="B3" s="26" t="s">
        <v>114</v>
      </c>
    </row>
    <row r="5" spans="1:2" ht="23">
      <c r="A5" s="28" t="s">
        <v>191</v>
      </c>
    </row>
    <row r="6" spans="1:2" ht="168">
      <c r="A6" s="1" t="s">
        <v>115</v>
      </c>
    </row>
    <row r="8" spans="1:2" ht="23">
      <c r="A8" s="29" t="s">
        <v>192</v>
      </c>
    </row>
    <row r="9" spans="1:2" ht="210">
      <c r="A9" s="1" t="s">
        <v>116</v>
      </c>
    </row>
  </sheetData>
  <phoneticPr fontId="3"/>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194E-3899-AD4B-A55D-2E09DFC1BE00}">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228</v>
      </c>
    </row>
    <row r="3" spans="1:2" ht="21">
      <c r="A3" s="32" t="s">
        <v>1</v>
      </c>
      <c r="B3" s="37" t="s">
        <v>110</v>
      </c>
    </row>
    <row r="4" spans="1:2" ht="21">
      <c r="A4" s="32" t="s">
        <v>2</v>
      </c>
      <c r="B4" s="37" t="s">
        <v>114</v>
      </c>
    </row>
    <row r="5" spans="1:2" ht="21">
      <c r="A5" s="32" t="s">
        <v>253</v>
      </c>
      <c r="B5" s="37" t="s">
        <v>115</v>
      </c>
    </row>
    <row r="6" spans="1:2" ht="105">
      <c r="A6" s="34" t="s">
        <v>288</v>
      </c>
      <c r="B6" s="38" t="s">
        <v>402</v>
      </c>
    </row>
    <row r="7" spans="1:2" ht="84">
      <c r="A7" s="35" t="s">
        <v>255</v>
      </c>
      <c r="B7" s="39" t="s">
        <v>403</v>
      </c>
    </row>
    <row r="8" spans="1:2" ht="21">
      <c r="A8" s="36" t="s">
        <v>289</v>
      </c>
      <c r="B8" s="40" t="s">
        <v>404</v>
      </c>
    </row>
    <row r="9" spans="1:2" ht="21">
      <c r="A9" s="32" t="s">
        <v>291</v>
      </c>
      <c r="B9" s="37" t="s">
        <v>372</v>
      </c>
    </row>
  </sheetData>
  <phoneticPr fontId="3"/>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BBFE-6887-634E-8451-79C34089D4A5}">
  <dimension ref="A1:B9"/>
  <sheetViews>
    <sheetView workbookViewId="0"/>
  </sheetViews>
  <sheetFormatPr baseColWidth="10" defaultRowHeight="20"/>
  <cols>
    <col min="1" max="1" width="17.140625" customWidth="1"/>
    <col min="2" max="2" width="57.140625" customWidth="1"/>
  </cols>
  <sheetData>
    <row r="1" spans="1:2">
      <c r="A1" s="27" t="s">
        <v>189</v>
      </c>
      <c r="B1" s="26" t="s">
        <v>229</v>
      </c>
    </row>
    <row r="2" spans="1:2">
      <c r="A2" s="27" t="s">
        <v>1</v>
      </c>
      <c r="B2" s="26" t="s">
        <v>110</v>
      </c>
    </row>
    <row r="3" spans="1:2">
      <c r="A3" s="27" t="s">
        <v>2</v>
      </c>
      <c r="B3" s="26" t="s">
        <v>117</v>
      </c>
    </row>
    <row r="5" spans="1:2" ht="23">
      <c r="A5" s="28" t="s">
        <v>191</v>
      </c>
    </row>
    <row r="6" spans="1:2" ht="147">
      <c r="A6" s="1" t="s">
        <v>118</v>
      </c>
    </row>
    <row r="8" spans="1:2" ht="23">
      <c r="A8" s="29" t="s">
        <v>192</v>
      </c>
    </row>
    <row r="9" spans="1:2" ht="210">
      <c r="A9" s="1" t="s">
        <v>119</v>
      </c>
    </row>
  </sheetData>
  <phoneticPr fontId="3"/>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3B6A-C417-2849-989C-B8466A6DAE4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229</v>
      </c>
    </row>
    <row r="3" spans="1:2" ht="21">
      <c r="A3" s="32" t="s">
        <v>1</v>
      </c>
      <c r="B3" s="37" t="s">
        <v>110</v>
      </c>
    </row>
    <row r="4" spans="1:2" ht="21">
      <c r="A4" s="32" t="s">
        <v>2</v>
      </c>
      <c r="B4" s="37" t="s">
        <v>117</v>
      </c>
    </row>
    <row r="5" spans="1:2" ht="21">
      <c r="A5" s="32" t="s">
        <v>253</v>
      </c>
      <c r="B5" s="37" t="s">
        <v>118</v>
      </c>
    </row>
    <row r="6" spans="1:2" ht="105">
      <c r="A6" s="34" t="s">
        <v>288</v>
      </c>
      <c r="B6" s="38" t="s">
        <v>405</v>
      </c>
    </row>
    <row r="7" spans="1:2" ht="84">
      <c r="A7" s="35" t="s">
        <v>255</v>
      </c>
      <c r="B7" s="39" t="s">
        <v>406</v>
      </c>
    </row>
    <row r="8" spans="1:2" ht="21">
      <c r="A8" s="36" t="s">
        <v>289</v>
      </c>
      <c r="B8" s="40" t="s">
        <v>407</v>
      </c>
    </row>
    <row r="9" spans="1:2" ht="21">
      <c r="A9" s="32" t="s">
        <v>291</v>
      </c>
      <c r="B9" s="37" t="s">
        <v>372</v>
      </c>
    </row>
  </sheetData>
  <phoneticPr fontId="3"/>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25C1E-CB5E-A24B-8BF1-D0172E5D27F2}">
  <dimension ref="A1:B9"/>
  <sheetViews>
    <sheetView workbookViewId="0"/>
  </sheetViews>
  <sheetFormatPr baseColWidth="10" defaultRowHeight="20"/>
  <cols>
    <col min="1" max="1" width="17.140625" customWidth="1"/>
    <col min="2" max="2" width="57.140625" customWidth="1"/>
  </cols>
  <sheetData>
    <row r="1" spans="1:2">
      <c r="A1" s="27" t="s">
        <v>189</v>
      </c>
      <c r="B1" s="26" t="s">
        <v>230</v>
      </c>
    </row>
    <row r="2" spans="1:2">
      <c r="A2" s="27" t="s">
        <v>1</v>
      </c>
      <c r="B2" s="26" t="s">
        <v>110</v>
      </c>
    </row>
    <row r="3" spans="1:2">
      <c r="A3" s="27" t="s">
        <v>2</v>
      </c>
      <c r="B3" s="26" t="s">
        <v>120</v>
      </c>
    </row>
    <row r="5" spans="1:2" ht="23">
      <c r="A5" s="28" t="s">
        <v>191</v>
      </c>
    </row>
    <row r="6" spans="1:2" ht="168">
      <c r="A6" s="1" t="s">
        <v>121</v>
      </c>
    </row>
    <row r="8" spans="1:2" ht="23">
      <c r="A8" s="29" t="s">
        <v>192</v>
      </c>
    </row>
    <row r="9" spans="1:2" ht="189">
      <c r="A9" s="1" t="s">
        <v>122</v>
      </c>
    </row>
  </sheetData>
  <phoneticPr fontId="3"/>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F66B-527B-1F44-A842-1F40C1905EA8}">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230</v>
      </c>
    </row>
    <row r="3" spans="1:2" ht="21">
      <c r="A3" s="32" t="s">
        <v>1</v>
      </c>
      <c r="B3" s="37" t="s">
        <v>110</v>
      </c>
    </row>
    <row r="4" spans="1:2" ht="21">
      <c r="A4" s="32" t="s">
        <v>2</v>
      </c>
      <c r="B4" s="37" t="s">
        <v>120</v>
      </c>
    </row>
    <row r="5" spans="1:2" ht="21">
      <c r="A5" s="32" t="s">
        <v>253</v>
      </c>
      <c r="B5" s="37" t="s">
        <v>121</v>
      </c>
    </row>
    <row r="6" spans="1:2" ht="126">
      <c r="A6" s="34" t="s">
        <v>288</v>
      </c>
      <c r="B6" s="38" t="s">
        <v>408</v>
      </c>
    </row>
    <row r="7" spans="1:2" ht="84">
      <c r="A7" s="35" t="s">
        <v>255</v>
      </c>
      <c r="B7" s="39" t="s">
        <v>409</v>
      </c>
    </row>
    <row r="8" spans="1:2" ht="21">
      <c r="A8" s="36" t="s">
        <v>289</v>
      </c>
      <c r="B8" s="40" t="s">
        <v>410</v>
      </c>
    </row>
    <row r="9" spans="1:2" ht="21">
      <c r="A9" s="32" t="s">
        <v>291</v>
      </c>
      <c r="B9" s="37" t="s">
        <v>411</v>
      </c>
    </row>
  </sheetData>
  <phoneticPr fontId="3"/>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C3E0-C8D1-C64D-A0C2-1326952DD757}">
  <dimension ref="A1:B9"/>
  <sheetViews>
    <sheetView workbookViewId="0"/>
  </sheetViews>
  <sheetFormatPr baseColWidth="10" defaultRowHeight="20"/>
  <cols>
    <col min="1" max="1" width="17.140625" customWidth="1"/>
    <col min="2" max="2" width="57.140625" customWidth="1"/>
  </cols>
  <sheetData>
    <row r="1" spans="1:2">
      <c r="A1" s="27" t="s">
        <v>189</v>
      </c>
      <c r="B1" s="26" t="s">
        <v>231</v>
      </c>
    </row>
    <row r="2" spans="1:2">
      <c r="A2" s="27" t="s">
        <v>1</v>
      </c>
      <c r="B2" s="26" t="s">
        <v>110</v>
      </c>
    </row>
    <row r="3" spans="1:2">
      <c r="A3" s="27" t="s">
        <v>2</v>
      </c>
      <c r="B3" s="26" t="s">
        <v>123</v>
      </c>
    </row>
    <row r="5" spans="1:2" ht="23">
      <c r="A5" s="28" t="s">
        <v>191</v>
      </c>
    </row>
    <row r="6" spans="1:2" ht="189">
      <c r="A6" s="1" t="s">
        <v>124</v>
      </c>
    </row>
    <row r="8" spans="1:2" ht="23">
      <c r="A8" s="29" t="s">
        <v>192</v>
      </c>
    </row>
    <row r="9" spans="1:2" ht="210">
      <c r="A9" s="1" t="s">
        <v>125</v>
      </c>
    </row>
  </sheetData>
  <phoneticPr fontId="3"/>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F410-ADF9-B249-AFC5-85961B53FEB6}">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231</v>
      </c>
    </row>
    <row r="3" spans="1:2" ht="21">
      <c r="A3" s="32" t="s">
        <v>1</v>
      </c>
      <c r="B3" s="37" t="s">
        <v>110</v>
      </c>
    </row>
    <row r="4" spans="1:2" ht="21">
      <c r="A4" s="32" t="s">
        <v>2</v>
      </c>
      <c r="B4" s="37" t="s">
        <v>123</v>
      </c>
    </row>
    <row r="5" spans="1:2" ht="42">
      <c r="A5" s="32" t="s">
        <v>253</v>
      </c>
      <c r="B5" s="37" t="s">
        <v>124</v>
      </c>
    </row>
    <row r="6" spans="1:2" ht="126">
      <c r="A6" s="34" t="s">
        <v>288</v>
      </c>
      <c r="B6" s="38" t="s">
        <v>412</v>
      </c>
    </row>
    <row r="7" spans="1:2" ht="84">
      <c r="A7" s="35" t="s">
        <v>255</v>
      </c>
      <c r="B7" s="39" t="s">
        <v>413</v>
      </c>
    </row>
    <row r="8" spans="1:2" ht="21">
      <c r="A8" s="36" t="s">
        <v>289</v>
      </c>
      <c r="B8" s="40" t="s">
        <v>414</v>
      </c>
    </row>
    <row r="9" spans="1:2" ht="21">
      <c r="A9" s="32" t="s">
        <v>291</v>
      </c>
      <c r="B9" s="37" t="s">
        <v>372</v>
      </c>
    </row>
  </sheetData>
  <phoneticPr fontId="3"/>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F921-E95D-1E47-8200-75CD091495AC}">
  <dimension ref="A1:B9"/>
  <sheetViews>
    <sheetView workbookViewId="0"/>
  </sheetViews>
  <sheetFormatPr baseColWidth="10" defaultRowHeight="20"/>
  <cols>
    <col min="1" max="1" width="17.140625" customWidth="1"/>
    <col min="2" max="2" width="57.140625" customWidth="1"/>
  </cols>
  <sheetData>
    <row r="1" spans="1:2">
      <c r="A1" s="27" t="s">
        <v>189</v>
      </c>
      <c r="B1" s="26" t="s">
        <v>232</v>
      </c>
    </row>
    <row r="2" spans="1:2">
      <c r="A2" s="27" t="s">
        <v>1</v>
      </c>
      <c r="B2" s="26" t="s">
        <v>110</v>
      </c>
    </row>
    <row r="3" spans="1:2">
      <c r="A3" s="27" t="s">
        <v>2</v>
      </c>
      <c r="B3" s="26" t="s">
        <v>126</v>
      </c>
    </row>
    <row r="5" spans="1:2" ht="23">
      <c r="A5" s="28" t="s">
        <v>191</v>
      </c>
    </row>
    <row r="6" spans="1:2" ht="147">
      <c r="A6" s="1" t="s">
        <v>127</v>
      </c>
    </row>
    <row r="8" spans="1:2" ht="23">
      <c r="A8" s="29" t="s">
        <v>192</v>
      </c>
    </row>
    <row r="9" spans="1:2" ht="210">
      <c r="A9" s="1" t="s">
        <v>128</v>
      </c>
    </row>
  </sheetData>
  <phoneticPr fontId="3"/>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3A31-56A3-1A46-85B9-F529B5263F9C}">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232</v>
      </c>
    </row>
    <row r="3" spans="1:2" ht="21">
      <c r="A3" s="32" t="s">
        <v>1</v>
      </c>
      <c r="B3" s="37" t="s">
        <v>110</v>
      </c>
    </row>
    <row r="4" spans="1:2" ht="21">
      <c r="A4" s="32" t="s">
        <v>2</v>
      </c>
      <c r="B4" s="37" t="s">
        <v>126</v>
      </c>
    </row>
    <row r="5" spans="1:2" ht="21">
      <c r="A5" s="32" t="s">
        <v>253</v>
      </c>
      <c r="B5" s="37" t="s">
        <v>127</v>
      </c>
    </row>
    <row r="6" spans="1:2" ht="147">
      <c r="A6" s="34" t="s">
        <v>288</v>
      </c>
      <c r="B6" s="38" t="s">
        <v>415</v>
      </c>
    </row>
    <row r="7" spans="1:2" ht="84">
      <c r="A7" s="35" t="s">
        <v>255</v>
      </c>
      <c r="B7" s="39" t="s">
        <v>416</v>
      </c>
    </row>
    <row r="8" spans="1:2" ht="21">
      <c r="A8" s="36" t="s">
        <v>289</v>
      </c>
      <c r="B8" s="40" t="s">
        <v>417</v>
      </c>
    </row>
    <row r="9" spans="1:2" ht="21">
      <c r="A9" s="32" t="s">
        <v>291</v>
      </c>
      <c r="B9" s="37" t="s">
        <v>418</v>
      </c>
    </row>
  </sheetData>
  <phoneticPr fontId="3"/>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2A21-67F1-ED47-A8CA-700466B27DDE}">
  <dimension ref="A1:B9"/>
  <sheetViews>
    <sheetView workbookViewId="0"/>
  </sheetViews>
  <sheetFormatPr baseColWidth="10" defaultRowHeight="20"/>
  <cols>
    <col min="1" max="1" width="17.140625" customWidth="1"/>
    <col min="2" max="2" width="57.140625" customWidth="1"/>
  </cols>
  <sheetData>
    <row r="1" spans="1:2">
      <c r="A1" s="27" t="s">
        <v>189</v>
      </c>
      <c r="B1" s="26" t="s">
        <v>233</v>
      </c>
    </row>
    <row r="2" spans="1:2">
      <c r="A2" s="27" t="s">
        <v>1</v>
      </c>
      <c r="B2" s="26" t="s">
        <v>110</v>
      </c>
    </row>
    <row r="3" spans="1:2">
      <c r="A3" s="27" t="s">
        <v>2</v>
      </c>
      <c r="B3" s="26" t="s">
        <v>129</v>
      </c>
    </row>
    <row r="5" spans="1:2" ht="23">
      <c r="A5" s="28" t="s">
        <v>191</v>
      </c>
    </row>
    <row r="6" spans="1:2" ht="168">
      <c r="A6" s="1" t="s">
        <v>130</v>
      </c>
    </row>
    <row r="8" spans="1:2" ht="23">
      <c r="A8" s="29" t="s">
        <v>192</v>
      </c>
    </row>
    <row r="9" spans="1:2" ht="189">
      <c r="A9" s="1" t="s">
        <v>131</v>
      </c>
    </row>
  </sheetData>
  <phoneticPr fontId="3"/>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46F12-65C0-6946-B343-594FBF6D30B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233</v>
      </c>
    </row>
    <row r="3" spans="1:2" ht="21">
      <c r="A3" s="32" t="s">
        <v>1</v>
      </c>
      <c r="B3" s="37" t="s">
        <v>110</v>
      </c>
    </row>
    <row r="4" spans="1:2" ht="21">
      <c r="A4" s="32" t="s">
        <v>2</v>
      </c>
      <c r="B4" s="37" t="s">
        <v>129</v>
      </c>
    </row>
    <row r="5" spans="1:2" ht="21">
      <c r="A5" s="32" t="s">
        <v>253</v>
      </c>
      <c r="B5" s="37" t="s">
        <v>130</v>
      </c>
    </row>
    <row r="6" spans="1:2" ht="126">
      <c r="A6" s="34" t="s">
        <v>288</v>
      </c>
      <c r="B6" s="38" t="s">
        <v>419</v>
      </c>
    </row>
    <row r="7" spans="1:2" ht="84">
      <c r="A7" s="35" t="s">
        <v>255</v>
      </c>
      <c r="B7" s="39" t="s">
        <v>420</v>
      </c>
    </row>
    <row r="8" spans="1:2" ht="21">
      <c r="A8" s="36" t="s">
        <v>289</v>
      </c>
      <c r="B8" s="40" t="s">
        <v>421</v>
      </c>
    </row>
    <row r="9" spans="1:2" ht="21">
      <c r="A9" s="32" t="s">
        <v>291</v>
      </c>
      <c r="B9" s="37" t="s">
        <v>422</v>
      </c>
    </row>
  </sheetData>
  <phoneticPr fontId="3"/>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CB95B-4079-4D41-AC8D-A5A662CE6684}">
  <dimension ref="A1:B9"/>
  <sheetViews>
    <sheetView workbookViewId="0"/>
  </sheetViews>
  <sheetFormatPr baseColWidth="10" defaultRowHeight="20"/>
  <cols>
    <col min="1" max="1" width="17.140625" customWidth="1"/>
    <col min="2" max="2" width="57.140625" customWidth="1"/>
  </cols>
  <sheetData>
    <row r="1" spans="1:2">
      <c r="A1" s="27" t="s">
        <v>189</v>
      </c>
      <c r="B1" s="26" t="s">
        <v>234</v>
      </c>
    </row>
    <row r="2" spans="1:2">
      <c r="A2" s="27" t="s">
        <v>1</v>
      </c>
      <c r="B2" s="26" t="s">
        <v>110</v>
      </c>
    </row>
    <row r="3" spans="1:2">
      <c r="A3" s="27" t="s">
        <v>2</v>
      </c>
      <c r="B3" s="26" t="s">
        <v>132</v>
      </c>
    </row>
    <row r="5" spans="1:2" ht="23">
      <c r="A5" s="28" t="s">
        <v>191</v>
      </c>
    </row>
    <row r="6" spans="1:2" ht="189">
      <c r="A6" s="1" t="s">
        <v>133</v>
      </c>
    </row>
    <row r="8" spans="1:2" ht="23">
      <c r="A8" s="29" t="s">
        <v>192</v>
      </c>
    </row>
    <row r="9" spans="1:2" ht="210">
      <c r="A9" s="1" t="s">
        <v>134</v>
      </c>
    </row>
  </sheetData>
  <phoneticPr fontId="3"/>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91AF-B46B-6840-B92D-0704C2DD4273}">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234</v>
      </c>
    </row>
    <row r="3" spans="1:2" ht="21">
      <c r="A3" s="32" t="s">
        <v>1</v>
      </c>
      <c r="B3" s="37" t="s">
        <v>110</v>
      </c>
    </row>
    <row r="4" spans="1:2" ht="21">
      <c r="A4" s="32" t="s">
        <v>2</v>
      </c>
      <c r="B4" s="37" t="s">
        <v>132</v>
      </c>
    </row>
    <row r="5" spans="1:2" ht="21">
      <c r="A5" s="32" t="s">
        <v>253</v>
      </c>
      <c r="B5" s="37" t="s">
        <v>133</v>
      </c>
    </row>
    <row r="6" spans="1:2" ht="147">
      <c r="A6" s="34" t="s">
        <v>288</v>
      </c>
      <c r="B6" s="38" t="s">
        <v>423</v>
      </c>
    </row>
    <row r="7" spans="1:2" ht="84">
      <c r="A7" s="35" t="s">
        <v>255</v>
      </c>
      <c r="B7" s="39" t="s">
        <v>424</v>
      </c>
    </row>
    <row r="8" spans="1:2" ht="21">
      <c r="A8" s="36" t="s">
        <v>289</v>
      </c>
      <c r="B8" s="40" t="s">
        <v>425</v>
      </c>
    </row>
    <row r="9" spans="1:2" ht="21">
      <c r="A9" s="32" t="s">
        <v>291</v>
      </c>
      <c r="B9" s="37" t="s">
        <v>426</v>
      </c>
    </row>
  </sheetData>
  <phoneticPr fontId="3"/>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2B45-6D1E-2A46-88F0-F8F225296A62}">
  <dimension ref="A1:B9"/>
  <sheetViews>
    <sheetView workbookViewId="0"/>
  </sheetViews>
  <sheetFormatPr baseColWidth="10" defaultRowHeight="20"/>
  <cols>
    <col min="1" max="1" width="17.140625" customWidth="1"/>
    <col min="2" max="2" width="57.140625" customWidth="1"/>
  </cols>
  <sheetData>
    <row r="1" spans="1:2">
      <c r="A1" s="27" t="s">
        <v>189</v>
      </c>
      <c r="B1" s="26" t="s">
        <v>235</v>
      </c>
    </row>
    <row r="2" spans="1:2">
      <c r="A2" s="27" t="s">
        <v>1</v>
      </c>
      <c r="B2" s="26" t="s">
        <v>135</v>
      </c>
    </row>
    <row r="3" spans="1:2">
      <c r="A3" s="27" t="s">
        <v>2</v>
      </c>
      <c r="B3" s="26" t="s">
        <v>140</v>
      </c>
    </row>
    <row r="5" spans="1:2" ht="23">
      <c r="A5" s="28" t="s">
        <v>191</v>
      </c>
    </row>
    <row r="6" spans="1:2" ht="189">
      <c r="A6" s="1" t="s">
        <v>138</v>
      </c>
    </row>
    <row r="8" spans="1:2" ht="23">
      <c r="A8" s="29" t="s">
        <v>192</v>
      </c>
    </row>
    <row r="9" spans="1:2" ht="189">
      <c r="A9" s="1" t="s">
        <v>139</v>
      </c>
    </row>
  </sheetData>
  <phoneticPr fontId="3"/>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A707-6D74-744F-972D-10EA6282CE7C}">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235</v>
      </c>
    </row>
    <row r="3" spans="1:2" ht="21">
      <c r="A3" s="32" t="s">
        <v>1</v>
      </c>
      <c r="B3" s="37" t="s">
        <v>135</v>
      </c>
    </row>
    <row r="4" spans="1:2" ht="21">
      <c r="A4" s="32" t="s">
        <v>2</v>
      </c>
      <c r="B4" s="37" t="s">
        <v>140</v>
      </c>
    </row>
    <row r="5" spans="1:2" ht="21">
      <c r="A5" s="32" t="s">
        <v>253</v>
      </c>
      <c r="B5" s="37" t="s">
        <v>138</v>
      </c>
    </row>
    <row r="6" spans="1:2" ht="126">
      <c r="A6" s="34" t="s">
        <v>288</v>
      </c>
      <c r="B6" s="38" t="s">
        <v>427</v>
      </c>
    </row>
    <row r="7" spans="1:2" ht="84">
      <c r="A7" s="35" t="s">
        <v>255</v>
      </c>
      <c r="B7" s="39" t="s">
        <v>428</v>
      </c>
    </row>
    <row r="8" spans="1:2" ht="42">
      <c r="A8" s="36" t="s">
        <v>289</v>
      </c>
      <c r="B8" s="40" t="s">
        <v>429</v>
      </c>
    </row>
    <row r="9" spans="1:2" ht="21">
      <c r="A9" s="32" t="s">
        <v>291</v>
      </c>
      <c r="B9" s="37" t="s">
        <v>430</v>
      </c>
    </row>
  </sheetData>
  <phoneticPr fontId="3"/>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7A0EE-6D99-1A47-91D8-FE7887B4C8FD}">
  <dimension ref="A1:B9"/>
  <sheetViews>
    <sheetView workbookViewId="0"/>
  </sheetViews>
  <sheetFormatPr baseColWidth="10" defaultRowHeight="20"/>
  <cols>
    <col min="1" max="1" width="17.140625" customWidth="1"/>
    <col min="2" max="2" width="57.140625" customWidth="1"/>
  </cols>
  <sheetData>
    <row r="1" spans="1:2">
      <c r="A1" s="27" t="s">
        <v>189</v>
      </c>
      <c r="B1" s="26" t="s">
        <v>236</v>
      </c>
    </row>
    <row r="2" spans="1:2">
      <c r="A2" s="27" t="s">
        <v>1</v>
      </c>
      <c r="B2" s="26" t="s">
        <v>135</v>
      </c>
    </row>
    <row r="3" spans="1:2">
      <c r="A3" s="27" t="s">
        <v>2</v>
      </c>
      <c r="B3" s="26" t="s">
        <v>136</v>
      </c>
    </row>
    <row r="5" spans="1:2" ht="23">
      <c r="A5" s="28" t="s">
        <v>191</v>
      </c>
    </row>
    <row r="6" spans="1:2" ht="210">
      <c r="A6" s="1" t="s">
        <v>137</v>
      </c>
    </row>
    <row r="8" spans="1:2" ht="23">
      <c r="A8" s="29" t="s">
        <v>192</v>
      </c>
    </row>
    <row r="9" spans="1:2" ht="168">
      <c r="A9" s="1" t="s">
        <v>141</v>
      </c>
    </row>
  </sheetData>
  <phoneticPr fontId="3"/>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7C365-6E67-DA49-8712-5D23BA5E34DB}">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236</v>
      </c>
    </row>
    <row r="3" spans="1:2" ht="21">
      <c r="A3" s="32" t="s">
        <v>1</v>
      </c>
      <c r="B3" s="37" t="s">
        <v>135</v>
      </c>
    </row>
    <row r="4" spans="1:2" ht="21">
      <c r="A4" s="32" t="s">
        <v>2</v>
      </c>
      <c r="B4" s="37" t="s">
        <v>136</v>
      </c>
    </row>
    <row r="5" spans="1:2" ht="42">
      <c r="A5" s="32" t="s">
        <v>253</v>
      </c>
      <c r="B5" s="37" t="s">
        <v>137</v>
      </c>
    </row>
    <row r="6" spans="1:2" ht="84">
      <c r="A6" s="34" t="s">
        <v>288</v>
      </c>
      <c r="B6" s="38" t="s">
        <v>431</v>
      </c>
    </row>
    <row r="7" spans="1:2" ht="84">
      <c r="A7" s="35" t="s">
        <v>255</v>
      </c>
      <c r="B7" s="39" t="s">
        <v>432</v>
      </c>
    </row>
    <row r="8" spans="1:2" ht="21">
      <c r="A8" s="36" t="s">
        <v>289</v>
      </c>
      <c r="B8" s="40" t="s">
        <v>433</v>
      </c>
    </row>
    <row r="9" spans="1:2" ht="21">
      <c r="A9" s="32" t="s">
        <v>291</v>
      </c>
      <c r="B9" s="37" t="s">
        <v>368</v>
      </c>
    </row>
  </sheetData>
  <phoneticPr fontId="3"/>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B34E-4266-0F4C-9587-3A3FF9581009}">
  <dimension ref="A1:B9"/>
  <sheetViews>
    <sheetView workbookViewId="0"/>
  </sheetViews>
  <sheetFormatPr baseColWidth="10" defaultRowHeight="20"/>
  <cols>
    <col min="1" max="1" width="17.140625" customWidth="1"/>
    <col min="2" max="2" width="57.140625" customWidth="1"/>
  </cols>
  <sheetData>
    <row r="1" spans="1:2">
      <c r="A1" s="27" t="s">
        <v>189</v>
      </c>
      <c r="B1" s="26" t="s">
        <v>237</v>
      </c>
    </row>
    <row r="2" spans="1:2">
      <c r="A2" s="27" t="s">
        <v>1</v>
      </c>
      <c r="B2" s="26" t="s">
        <v>135</v>
      </c>
    </row>
    <row r="3" spans="1:2">
      <c r="A3" s="27" t="s">
        <v>2</v>
      </c>
      <c r="B3" s="26" t="s">
        <v>142</v>
      </c>
    </row>
    <row r="5" spans="1:2" ht="23">
      <c r="A5" s="28" t="s">
        <v>191</v>
      </c>
    </row>
    <row r="6" spans="1:2" ht="168">
      <c r="A6" s="1" t="s">
        <v>143</v>
      </c>
    </row>
    <row r="8" spans="1:2" ht="23">
      <c r="A8" s="29" t="s">
        <v>192</v>
      </c>
    </row>
    <row r="9" spans="1:2" ht="147">
      <c r="A9" s="1" t="s">
        <v>144</v>
      </c>
    </row>
  </sheetData>
  <phoneticPr fontId="3"/>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CD8B-7E19-8A4A-9B73-75590CD0C6B7}">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237</v>
      </c>
    </row>
    <row r="3" spans="1:2" ht="21">
      <c r="A3" s="32" t="s">
        <v>1</v>
      </c>
      <c r="B3" s="37" t="s">
        <v>135</v>
      </c>
    </row>
    <row r="4" spans="1:2" ht="21">
      <c r="A4" s="32" t="s">
        <v>2</v>
      </c>
      <c r="B4" s="37" t="s">
        <v>142</v>
      </c>
    </row>
    <row r="5" spans="1:2" ht="21">
      <c r="A5" s="32" t="s">
        <v>253</v>
      </c>
      <c r="B5" s="37" t="s">
        <v>143</v>
      </c>
    </row>
    <row r="6" spans="1:2" ht="84">
      <c r="A6" s="34" t="s">
        <v>288</v>
      </c>
      <c r="B6" s="38" t="s">
        <v>434</v>
      </c>
    </row>
    <row r="7" spans="1:2" ht="126">
      <c r="A7" s="35" t="s">
        <v>255</v>
      </c>
      <c r="B7" s="39" t="s">
        <v>435</v>
      </c>
    </row>
    <row r="8" spans="1:2" ht="21">
      <c r="A8" s="36" t="s">
        <v>289</v>
      </c>
      <c r="B8" s="40" t="s">
        <v>436</v>
      </c>
    </row>
    <row r="9" spans="1:2" ht="21">
      <c r="A9" s="32" t="s">
        <v>291</v>
      </c>
      <c r="B9" s="37" t="s">
        <v>437</v>
      </c>
    </row>
  </sheetData>
  <phoneticPr fontId="3"/>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DBDA-1E64-A747-AD54-F760134CAF40}">
  <dimension ref="A1:B9"/>
  <sheetViews>
    <sheetView workbookViewId="0"/>
  </sheetViews>
  <sheetFormatPr baseColWidth="10" defaultRowHeight="20"/>
  <cols>
    <col min="1" max="1" width="17.140625" customWidth="1"/>
    <col min="2" max="2" width="57.140625" customWidth="1"/>
  </cols>
  <sheetData>
    <row r="1" spans="1:2">
      <c r="A1" s="27" t="s">
        <v>189</v>
      </c>
      <c r="B1" s="26" t="s">
        <v>238</v>
      </c>
    </row>
    <row r="2" spans="1:2">
      <c r="A2" s="27" t="s">
        <v>1</v>
      </c>
      <c r="B2" s="26" t="s">
        <v>135</v>
      </c>
    </row>
    <row r="3" spans="1:2">
      <c r="A3" s="27" t="s">
        <v>2</v>
      </c>
      <c r="B3" s="26" t="s">
        <v>145</v>
      </c>
    </row>
    <row r="5" spans="1:2" ht="23">
      <c r="A5" s="28" t="s">
        <v>191</v>
      </c>
    </row>
    <row r="6" spans="1:2" ht="189">
      <c r="A6" s="1" t="s">
        <v>146</v>
      </c>
    </row>
    <row r="8" spans="1:2" ht="23">
      <c r="A8" s="29" t="s">
        <v>192</v>
      </c>
    </row>
    <row r="9" spans="1:2" ht="168">
      <c r="A9" s="1" t="s">
        <v>147</v>
      </c>
    </row>
  </sheetData>
  <phoneticPr fontId="3"/>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A99C-F231-5145-B9E6-D45DEE53171D}">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238</v>
      </c>
    </row>
    <row r="3" spans="1:2" ht="21">
      <c r="A3" s="32" t="s">
        <v>1</v>
      </c>
      <c r="B3" s="37" t="s">
        <v>135</v>
      </c>
    </row>
    <row r="4" spans="1:2" ht="21">
      <c r="A4" s="32" t="s">
        <v>2</v>
      </c>
      <c r="B4" s="37" t="s">
        <v>145</v>
      </c>
    </row>
    <row r="5" spans="1:2" ht="42">
      <c r="A5" s="32" t="s">
        <v>253</v>
      </c>
      <c r="B5" s="37" t="s">
        <v>146</v>
      </c>
    </row>
    <row r="6" spans="1:2" ht="63">
      <c r="A6" s="34" t="s">
        <v>288</v>
      </c>
      <c r="B6" s="38" t="s">
        <v>438</v>
      </c>
    </row>
    <row r="7" spans="1:2" ht="105">
      <c r="A7" s="35" t="s">
        <v>255</v>
      </c>
      <c r="B7" s="39" t="s">
        <v>439</v>
      </c>
    </row>
    <row r="8" spans="1:2" ht="42">
      <c r="A8" s="36" t="s">
        <v>289</v>
      </c>
      <c r="B8" s="40" t="s">
        <v>440</v>
      </c>
    </row>
    <row r="9" spans="1:2" ht="21">
      <c r="A9" s="32" t="s">
        <v>291</v>
      </c>
      <c r="B9" s="37" t="s">
        <v>368</v>
      </c>
    </row>
  </sheetData>
  <phoneticPr fontId="3"/>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3599-1E0F-AF40-925F-DD4A63CE4830}">
  <dimension ref="A1:B9"/>
  <sheetViews>
    <sheetView workbookViewId="0"/>
  </sheetViews>
  <sheetFormatPr baseColWidth="10" defaultRowHeight="20"/>
  <cols>
    <col min="1" max="1" width="17.140625" customWidth="1"/>
    <col min="2" max="2" width="57.140625" customWidth="1"/>
  </cols>
  <sheetData>
    <row r="1" spans="1:2">
      <c r="A1" s="27" t="s">
        <v>189</v>
      </c>
      <c r="B1" s="26" t="s">
        <v>239</v>
      </c>
    </row>
    <row r="2" spans="1:2">
      <c r="A2" s="27" t="s">
        <v>1</v>
      </c>
      <c r="B2" s="26" t="s">
        <v>135</v>
      </c>
    </row>
    <row r="3" spans="1:2">
      <c r="A3" s="27" t="s">
        <v>2</v>
      </c>
      <c r="B3" s="26" t="s">
        <v>148</v>
      </c>
    </row>
    <row r="5" spans="1:2" ht="23">
      <c r="A5" s="28" t="s">
        <v>191</v>
      </c>
    </row>
    <row r="6" spans="1:2" ht="210">
      <c r="A6" s="1" t="s">
        <v>149</v>
      </c>
    </row>
    <row r="8" spans="1:2" ht="23">
      <c r="A8" s="29" t="s">
        <v>192</v>
      </c>
    </row>
    <row r="9" spans="1:2" ht="126">
      <c r="A9" s="1" t="s">
        <v>150</v>
      </c>
    </row>
  </sheetData>
  <phoneticPr fontId="3"/>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19E3-D273-C443-9468-D8777413B118}">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239</v>
      </c>
    </row>
    <row r="3" spans="1:2" ht="21">
      <c r="A3" s="32" t="s">
        <v>1</v>
      </c>
      <c r="B3" s="37" t="s">
        <v>135</v>
      </c>
    </row>
    <row r="4" spans="1:2" ht="21">
      <c r="A4" s="32" t="s">
        <v>2</v>
      </c>
      <c r="B4" s="37" t="s">
        <v>148</v>
      </c>
    </row>
    <row r="5" spans="1:2" ht="42">
      <c r="A5" s="32" t="s">
        <v>253</v>
      </c>
      <c r="B5" s="37" t="s">
        <v>149</v>
      </c>
    </row>
    <row r="6" spans="1:2" ht="84">
      <c r="A6" s="34" t="s">
        <v>288</v>
      </c>
      <c r="B6" s="38" t="s">
        <v>441</v>
      </c>
    </row>
    <row r="7" spans="1:2" ht="105">
      <c r="A7" s="35" t="s">
        <v>255</v>
      </c>
      <c r="B7" s="39" t="s">
        <v>442</v>
      </c>
    </row>
    <row r="8" spans="1:2" ht="21">
      <c r="A8" s="36" t="s">
        <v>289</v>
      </c>
      <c r="B8" s="40" t="s">
        <v>443</v>
      </c>
    </row>
    <row r="9" spans="1:2" ht="21">
      <c r="A9" s="32" t="s">
        <v>291</v>
      </c>
      <c r="B9" s="37" t="s">
        <v>368</v>
      </c>
    </row>
  </sheetData>
  <phoneticPr fontId="3"/>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F573-5871-2C47-98B9-3B7D46F715D9}">
  <dimension ref="A1:B9"/>
  <sheetViews>
    <sheetView workbookViewId="0"/>
  </sheetViews>
  <sheetFormatPr baseColWidth="10" defaultRowHeight="20"/>
  <cols>
    <col min="1" max="1" width="17.140625" customWidth="1"/>
    <col min="2" max="2" width="57.140625" customWidth="1"/>
  </cols>
  <sheetData>
    <row r="1" spans="1:2">
      <c r="A1" s="27" t="s">
        <v>189</v>
      </c>
      <c r="B1" s="26" t="s">
        <v>240</v>
      </c>
    </row>
    <row r="2" spans="1:2">
      <c r="A2" s="27" t="s">
        <v>1</v>
      </c>
      <c r="B2" s="26" t="s">
        <v>135</v>
      </c>
    </row>
    <row r="3" spans="1:2">
      <c r="A3" s="27" t="s">
        <v>2</v>
      </c>
      <c r="B3" s="26" t="s">
        <v>151</v>
      </c>
    </row>
    <row r="5" spans="1:2" ht="23">
      <c r="A5" s="28" t="s">
        <v>191</v>
      </c>
    </row>
    <row r="6" spans="1:2" ht="189">
      <c r="A6" s="1" t="s">
        <v>152</v>
      </c>
    </row>
    <row r="8" spans="1:2" ht="23">
      <c r="A8" s="29" t="s">
        <v>192</v>
      </c>
    </row>
    <row r="9" spans="1:2" ht="168">
      <c r="A9" s="1" t="s">
        <v>153</v>
      </c>
    </row>
  </sheetData>
  <phoneticPr fontId="3"/>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FA0C-BFDC-DD44-9B71-7CD5442EF89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240</v>
      </c>
    </row>
    <row r="3" spans="1:2" ht="21">
      <c r="A3" s="32" t="s">
        <v>1</v>
      </c>
      <c r="B3" s="37" t="s">
        <v>135</v>
      </c>
    </row>
    <row r="4" spans="1:2" ht="21">
      <c r="A4" s="32" t="s">
        <v>2</v>
      </c>
      <c r="B4" s="37" t="s">
        <v>151</v>
      </c>
    </row>
    <row r="5" spans="1:2" ht="21">
      <c r="A5" s="32" t="s">
        <v>253</v>
      </c>
      <c r="B5" s="37" t="s">
        <v>152</v>
      </c>
    </row>
    <row r="6" spans="1:2" ht="84">
      <c r="A6" s="34" t="s">
        <v>288</v>
      </c>
      <c r="B6" s="38" t="s">
        <v>444</v>
      </c>
    </row>
    <row r="7" spans="1:2" ht="105">
      <c r="A7" s="35" t="s">
        <v>255</v>
      </c>
      <c r="B7" s="39" t="s">
        <v>445</v>
      </c>
    </row>
    <row r="8" spans="1:2" ht="21">
      <c r="A8" s="36" t="s">
        <v>289</v>
      </c>
      <c r="B8" s="40" t="s">
        <v>446</v>
      </c>
    </row>
    <row r="9" spans="1:2" ht="21">
      <c r="A9" s="32" t="s">
        <v>291</v>
      </c>
      <c r="B9" s="37" t="s">
        <v>368</v>
      </c>
    </row>
  </sheetData>
  <phoneticPr fontId="3"/>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6E7B-9CA0-AB4A-90D9-F40B0F3D45CC}">
  <dimension ref="A1:B9"/>
  <sheetViews>
    <sheetView workbookViewId="0"/>
  </sheetViews>
  <sheetFormatPr baseColWidth="10" defaultRowHeight="20"/>
  <cols>
    <col min="1" max="1" width="17.140625" customWidth="1"/>
    <col min="2" max="2" width="57.140625" customWidth="1"/>
  </cols>
  <sheetData>
    <row r="1" spans="1:2">
      <c r="A1" s="27" t="s">
        <v>189</v>
      </c>
      <c r="B1" s="26" t="s">
        <v>241</v>
      </c>
    </row>
    <row r="2" spans="1:2">
      <c r="A2" s="27" t="s">
        <v>1</v>
      </c>
      <c r="B2" s="26" t="s">
        <v>135</v>
      </c>
    </row>
    <row r="3" spans="1:2">
      <c r="A3" s="27" t="s">
        <v>2</v>
      </c>
      <c r="B3" s="26" t="s">
        <v>154</v>
      </c>
    </row>
    <row r="5" spans="1:2" ht="23">
      <c r="A5" s="28" t="s">
        <v>191</v>
      </c>
    </row>
    <row r="6" spans="1:2" ht="189">
      <c r="A6" s="1" t="s">
        <v>155</v>
      </c>
    </row>
    <row r="8" spans="1:2" ht="23">
      <c r="A8" s="29" t="s">
        <v>192</v>
      </c>
    </row>
    <row r="9" spans="1:2" ht="147">
      <c r="A9" s="1" t="s">
        <v>156</v>
      </c>
    </row>
  </sheetData>
  <phoneticPr fontId="3"/>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91AF-E2B9-7D49-B642-524DF0E97EF6}">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241</v>
      </c>
    </row>
    <row r="3" spans="1:2" ht="21">
      <c r="A3" s="32" t="s">
        <v>1</v>
      </c>
      <c r="B3" s="37" t="s">
        <v>135</v>
      </c>
    </row>
    <row r="4" spans="1:2" ht="21">
      <c r="A4" s="32" t="s">
        <v>2</v>
      </c>
      <c r="B4" s="37" t="s">
        <v>154</v>
      </c>
    </row>
    <row r="5" spans="1:2" ht="21">
      <c r="A5" s="32" t="s">
        <v>253</v>
      </c>
      <c r="B5" s="37" t="s">
        <v>155</v>
      </c>
    </row>
    <row r="6" spans="1:2" ht="84">
      <c r="A6" s="34" t="s">
        <v>288</v>
      </c>
      <c r="B6" s="38" t="s">
        <v>447</v>
      </c>
    </row>
    <row r="7" spans="1:2" ht="105">
      <c r="A7" s="35" t="s">
        <v>255</v>
      </c>
      <c r="B7" s="39" t="s">
        <v>448</v>
      </c>
    </row>
    <row r="8" spans="1:2" ht="21">
      <c r="A8" s="36" t="s">
        <v>289</v>
      </c>
      <c r="B8" s="40" t="s">
        <v>449</v>
      </c>
    </row>
    <row r="9" spans="1:2" ht="21">
      <c r="A9" s="32" t="s">
        <v>291</v>
      </c>
      <c r="B9" s="37" t="s">
        <v>368</v>
      </c>
    </row>
  </sheetData>
  <phoneticPr fontId="3"/>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F61B7-152B-CF41-A69A-158BA3B1B671}">
  <dimension ref="A1:B9"/>
  <sheetViews>
    <sheetView workbookViewId="0"/>
  </sheetViews>
  <sheetFormatPr baseColWidth="10" defaultRowHeight="20"/>
  <cols>
    <col min="1" max="1" width="17.140625" customWidth="1"/>
    <col min="2" max="2" width="57.140625" customWidth="1"/>
  </cols>
  <sheetData>
    <row r="1" spans="1:2">
      <c r="A1" s="27" t="s">
        <v>189</v>
      </c>
      <c r="B1" s="26" t="s">
        <v>242</v>
      </c>
    </row>
    <row r="2" spans="1:2">
      <c r="A2" s="27" t="s">
        <v>1</v>
      </c>
      <c r="B2" s="26" t="s">
        <v>135</v>
      </c>
    </row>
    <row r="3" spans="1:2">
      <c r="A3" s="27" t="s">
        <v>2</v>
      </c>
      <c r="B3" s="26" t="s">
        <v>157</v>
      </c>
    </row>
    <row r="5" spans="1:2" ht="23">
      <c r="A5" s="28" t="s">
        <v>191</v>
      </c>
    </row>
    <row r="6" spans="1:2" ht="231">
      <c r="A6" s="1" t="s">
        <v>158</v>
      </c>
    </row>
    <row r="8" spans="1:2" ht="23">
      <c r="A8" s="29" t="s">
        <v>192</v>
      </c>
    </row>
    <row r="9" spans="1:2" ht="189">
      <c r="A9" s="1" t="s">
        <v>159</v>
      </c>
    </row>
  </sheetData>
  <phoneticPr fontId="3"/>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D0C4-A0E1-0F49-A1BD-B1D67A38815B}">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242</v>
      </c>
    </row>
    <row r="3" spans="1:2" ht="21">
      <c r="A3" s="32" t="s">
        <v>1</v>
      </c>
      <c r="B3" s="37" t="s">
        <v>135</v>
      </c>
    </row>
    <row r="4" spans="1:2" ht="21">
      <c r="A4" s="32" t="s">
        <v>2</v>
      </c>
      <c r="B4" s="37" t="s">
        <v>157</v>
      </c>
    </row>
    <row r="5" spans="1:2" ht="42">
      <c r="A5" s="32" t="s">
        <v>253</v>
      </c>
      <c r="B5" s="37" t="s">
        <v>158</v>
      </c>
    </row>
    <row r="6" spans="1:2" ht="63">
      <c r="A6" s="34" t="s">
        <v>288</v>
      </c>
      <c r="B6" s="38" t="s">
        <v>450</v>
      </c>
    </row>
    <row r="7" spans="1:2" ht="105">
      <c r="A7" s="35" t="s">
        <v>255</v>
      </c>
      <c r="B7" s="39" t="s">
        <v>451</v>
      </c>
    </row>
    <row r="8" spans="1:2" ht="21">
      <c r="A8" s="36" t="s">
        <v>289</v>
      </c>
      <c r="B8" s="40" t="s">
        <v>452</v>
      </c>
    </row>
    <row r="9" spans="1:2" ht="21">
      <c r="A9" s="32" t="s">
        <v>291</v>
      </c>
      <c r="B9" s="37" t="s">
        <v>368</v>
      </c>
    </row>
  </sheetData>
  <phoneticPr fontId="3"/>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762C6-7BF2-3147-81BF-E701AA0A6CED}">
  <dimension ref="A1:B9"/>
  <sheetViews>
    <sheetView workbookViewId="0"/>
  </sheetViews>
  <sheetFormatPr baseColWidth="10" defaultRowHeight="20"/>
  <cols>
    <col min="1" max="1" width="17.140625" customWidth="1"/>
    <col min="2" max="2" width="57.140625" customWidth="1"/>
  </cols>
  <sheetData>
    <row r="1" spans="1:2">
      <c r="A1" s="27" t="s">
        <v>189</v>
      </c>
      <c r="B1" s="26" t="s">
        <v>243</v>
      </c>
    </row>
    <row r="2" spans="1:2">
      <c r="A2" s="27" t="s">
        <v>1</v>
      </c>
      <c r="B2" s="26" t="s">
        <v>135</v>
      </c>
    </row>
    <row r="3" spans="1:2">
      <c r="A3" s="27" t="s">
        <v>2</v>
      </c>
      <c r="B3" s="26" t="s">
        <v>160</v>
      </c>
    </row>
    <row r="5" spans="1:2" ht="23">
      <c r="A5" s="28" t="s">
        <v>191</v>
      </c>
    </row>
    <row r="6" spans="1:2" ht="210">
      <c r="A6" s="1" t="s">
        <v>161</v>
      </c>
    </row>
    <row r="8" spans="1:2" ht="23">
      <c r="A8" s="29" t="s">
        <v>192</v>
      </c>
    </row>
    <row r="9" spans="1:2" ht="210">
      <c r="A9" s="1" t="s">
        <v>162</v>
      </c>
    </row>
  </sheetData>
  <phoneticPr fontId="3"/>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827A-5F77-9343-A91E-D770EF478C15}">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243</v>
      </c>
    </row>
    <row r="3" spans="1:2" ht="21">
      <c r="A3" s="32" t="s">
        <v>1</v>
      </c>
      <c r="B3" s="37" t="s">
        <v>135</v>
      </c>
    </row>
    <row r="4" spans="1:2" ht="21">
      <c r="A4" s="32" t="s">
        <v>2</v>
      </c>
      <c r="B4" s="37" t="s">
        <v>160</v>
      </c>
    </row>
    <row r="5" spans="1:2" ht="42">
      <c r="A5" s="32" t="s">
        <v>253</v>
      </c>
      <c r="B5" s="37" t="s">
        <v>161</v>
      </c>
    </row>
    <row r="6" spans="1:2" ht="63">
      <c r="A6" s="34" t="s">
        <v>288</v>
      </c>
      <c r="B6" s="38" t="s">
        <v>453</v>
      </c>
    </row>
    <row r="7" spans="1:2" ht="105">
      <c r="A7" s="35" t="s">
        <v>255</v>
      </c>
      <c r="B7" s="39" t="s">
        <v>454</v>
      </c>
    </row>
    <row r="8" spans="1:2" ht="21">
      <c r="A8" s="36" t="s">
        <v>289</v>
      </c>
      <c r="B8" s="40" t="s">
        <v>455</v>
      </c>
    </row>
    <row r="9" spans="1:2" ht="21">
      <c r="A9" s="32" t="s">
        <v>291</v>
      </c>
      <c r="B9" s="37" t="s">
        <v>368</v>
      </c>
    </row>
  </sheetData>
  <phoneticPr fontId="3"/>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46C5-8635-4B4E-AA4E-FF2AF94D537C}">
  <dimension ref="A1:B9"/>
  <sheetViews>
    <sheetView workbookViewId="0"/>
  </sheetViews>
  <sheetFormatPr baseColWidth="10" defaultRowHeight="20"/>
  <cols>
    <col min="1" max="1" width="17.140625" customWidth="1"/>
    <col min="2" max="2" width="57.140625" customWidth="1"/>
  </cols>
  <sheetData>
    <row r="1" spans="1:2">
      <c r="A1" s="27" t="s">
        <v>189</v>
      </c>
      <c r="B1" s="26" t="s">
        <v>244</v>
      </c>
    </row>
    <row r="2" spans="1:2">
      <c r="A2" s="27" t="s">
        <v>1</v>
      </c>
      <c r="B2" s="26" t="s">
        <v>135</v>
      </c>
    </row>
    <row r="3" spans="1:2">
      <c r="A3" s="27" t="s">
        <v>2</v>
      </c>
      <c r="B3" s="26" t="s">
        <v>163</v>
      </c>
    </row>
    <row r="5" spans="1:2" ht="23">
      <c r="A5" s="28" t="s">
        <v>191</v>
      </c>
    </row>
    <row r="6" spans="1:2" ht="189">
      <c r="A6" s="1" t="s">
        <v>164</v>
      </c>
    </row>
    <row r="8" spans="1:2" ht="23">
      <c r="A8" s="29" t="s">
        <v>192</v>
      </c>
    </row>
    <row r="9" spans="1:2" ht="210">
      <c r="A9" s="1" t="s">
        <v>165</v>
      </c>
    </row>
  </sheetData>
  <phoneticPr fontId="3"/>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0942-3B62-D245-801B-A8FA04C4C6CB}">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244</v>
      </c>
    </row>
    <row r="3" spans="1:2" ht="21">
      <c r="A3" s="32" t="s">
        <v>1</v>
      </c>
      <c r="B3" s="37" t="s">
        <v>135</v>
      </c>
    </row>
    <row r="4" spans="1:2" ht="21">
      <c r="A4" s="32" t="s">
        <v>2</v>
      </c>
      <c r="B4" s="37" t="s">
        <v>163</v>
      </c>
    </row>
    <row r="5" spans="1:2" ht="42">
      <c r="A5" s="32" t="s">
        <v>253</v>
      </c>
      <c r="B5" s="37" t="s">
        <v>164</v>
      </c>
    </row>
    <row r="6" spans="1:2" ht="63">
      <c r="A6" s="34" t="s">
        <v>288</v>
      </c>
      <c r="B6" s="38" t="s">
        <v>456</v>
      </c>
    </row>
    <row r="7" spans="1:2" ht="105">
      <c r="A7" s="35" t="s">
        <v>255</v>
      </c>
      <c r="B7" s="39" t="s">
        <v>457</v>
      </c>
    </row>
    <row r="8" spans="1:2" ht="21">
      <c r="A8" s="36" t="s">
        <v>289</v>
      </c>
      <c r="B8" s="40" t="s">
        <v>458</v>
      </c>
    </row>
    <row r="9" spans="1:2" ht="21">
      <c r="A9" s="32" t="s">
        <v>291</v>
      </c>
      <c r="B9" s="37" t="s">
        <v>368</v>
      </c>
    </row>
  </sheetData>
  <phoneticPr fontId="3"/>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5277-25F4-124C-BEBC-B694924BACCD}">
  <dimension ref="A1:B9"/>
  <sheetViews>
    <sheetView workbookViewId="0"/>
  </sheetViews>
  <sheetFormatPr baseColWidth="10" defaultRowHeight="20"/>
  <cols>
    <col min="1" max="1" width="17.140625" customWidth="1"/>
    <col min="2" max="2" width="57.140625" customWidth="1"/>
  </cols>
  <sheetData>
    <row r="1" spans="1:2">
      <c r="A1" s="27" t="s">
        <v>189</v>
      </c>
      <c r="B1" s="26" t="s">
        <v>245</v>
      </c>
    </row>
    <row r="2" spans="1:2">
      <c r="A2" s="27" t="s">
        <v>1</v>
      </c>
      <c r="B2" s="26" t="s">
        <v>166</v>
      </c>
    </row>
    <row r="3" spans="1:2">
      <c r="A3" s="27" t="s">
        <v>2</v>
      </c>
      <c r="B3" s="26" t="s">
        <v>167</v>
      </c>
    </row>
    <row r="5" spans="1:2" ht="23">
      <c r="A5" s="28" t="s">
        <v>191</v>
      </c>
    </row>
    <row r="6" spans="1:2" ht="189">
      <c r="A6" s="1" t="s">
        <v>168</v>
      </c>
    </row>
    <row r="8" spans="1:2" ht="23">
      <c r="A8" s="29" t="s">
        <v>192</v>
      </c>
    </row>
    <row r="9" spans="1:2" ht="231">
      <c r="A9" s="1" t="s">
        <v>169</v>
      </c>
    </row>
  </sheetData>
  <phoneticPr fontId="3"/>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C538-BF35-AF47-BD04-8FC84DB97ED4}">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245</v>
      </c>
    </row>
    <row r="3" spans="1:2" ht="21">
      <c r="A3" s="32" t="s">
        <v>1</v>
      </c>
      <c r="B3" s="37" t="s">
        <v>166</v>
      </c>
    </row>
    <row r="4" spans="1:2" ht="21">
      <c r="A4" s="32" t="s">
        <v>2</v>
      </c>
      <c r="B4" s="37" t="s">
        <v>167</v>
      </c>
    </row>
    <row r="5" spans="1:2" ht="42">
      <c r="A5" s="32" t="s">
        <v>253</v>
      </c>
      <c r="B5" s="37" t="s">
        <v>168</v>
      </c>
    </row>
    <row r="6" spans="1:2" ht="126">
      <c r="A6" s="34" t="s">
        <v>288</v>
      </c>
      <c r="B6" s="38" t="s">
        <v>459</v>
      </c>
    </row>
    <row r="7" spans="1:2" ht="84">
      <c r="A7" s="35" t="s">
        <v>255</v>
      </c>
      <c r="B7" s="39" t="s">
        <v>460</v>
      </c>
    </row>
    <row r="8" spans="1:2" ht="21">
      <c r="A8" s="36" t="s">
        <v>289</v>
      </c>
      <c r="B8" s="40" t="s">
        <v>461</v>
      </c>
    </row>
    <row r="9" spans="1:2" ht="21">
      <c r="A9" s="32" t="s">
        <v>291</v>
      </c>
      <c r="B9" s="37" t="s">
        <v>462</v>
      </c>
    </row>
  </sheetData>
  <phoneticPr fontId="3"/>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9DD42-468C-E840-982B-2C1C099E3A70}">
  <dimension ref="A1:B9"/>
  <sheetViews>
    <sheetView workbookViewId="0"/>
  </sheetViews>
  <sheetFormatPr baseColWidth="10" defaultRowHeight="20"/>
  <cols>
    <col min="1" max="1" width="17.140625" customWidth="1"/>
    <col min="2" max="2" width="57.140625" customWidth="1"/>
  </cols>
  <sheetData>
    <row r="1" spans="1:2">
      <c r="A1" s="27" t="s">
        <v>189</v>
      </c>
      <c r="B1" s="26" t="s">
        <v>246</v>
      </c>
    </row>
    <row r="2" spans="1:2">
      <c r="A2" s="27" t="s">
        <v>1</v>
      </c>
      <c r="B2" s="26" t="s">
        <v>166</v>
      </c>
    </row>
    <row r="3" spans="1:2">
      <c r="A3" s="27" t="s">
        <v>2</v>
      </c>
      <c r="B3" s="26" t="s">
        <v>170</v>
      </c>
    </row>
    <row r="5" spans="1:2" ht="23">
      <c r="A5" s="28" t="s">
        <v>191</v>
      </c>
    </row>
    <row r="6" spans="1:2" ht="189">
      <c r="A6" s="1" t="s">
        <v>171</v>
      </c>
    </row>
    <row r="8" spans="1:2" ht="23">
      <c r="A8" s="29" t="s">
        <v>192</v>
      </c>
    </row>
    <row r="9" spans="1:2" ht="231">
      <c r="A9" s="1" t="s">
        <v>172</v>
      </c>
    </row>
  </sheetData>
  <phoneticPr fontId="3"/>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6C08-7FA4-DA4D-9BFB-33200CA192CC}">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246</v>
      </c>
    </row>
    <row r="3" spans="1:2" ht="21">
      <c r="A3" s="32" t="s">
        <v>1</v>
      </c>
      <c r="B3" s="37" t="s">
        <v>166</v>
      </c>
    </row>
    <row r="4" spans="1:2" ht="21">
      <c r="A4" s="32" t="s">
        <v>2</v>
      </c>
      <c r="B4" s="37" t="s">
        <v>170</v>
      </c>
    </row>
    <row r="5" spans="1:2" ht="42">
      <c r="A5" s="32" t="s">
        <v>253</v>
      </c>
      <c r="B5" s="37" t="s">
        <v>171</v>
      </c>
    </row>
    <row r="6" spans="1:2" ht="168">
      <c r="A6" s="34" t="s">
        <v>288</v>
      </c>
      <c r="B6" s="38" t="s">
        <v>463</v>
      </c>
    </row>
    <row r="7" spans="1:2" ht="84">
      <c r="A7" s="35" t="s">
        <v>255</v>
      </c>
      <c r="B7" s="39" t="s">
        <v>464</v>
      </c>
    </row>
    <row r="8" spans="1:2" ht="21">
      <c r="A8" s="36" t="s">
        <v>289</v>
      </c>
      <c r="B8" s="40" t="s">
        <v>465</v>
      </c>
    </row>
    <row r="9" spans="1:2" ht="21">
      <c r="A9" s="32" t="s">
        <v>291</v>
      </c>
      <c r="B9" s="37" t="s">
        <v>372</v>
      </c>
    </row>
  </sheetData>
  <phoneticPr fontId="3"/>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5171-BEF6-BB44-8789-E5003DB16356}">
  <dimension ref="A1:B9"/>
  <sheetViews>
    <sheetView workbookViewId="0"/>
  </sheetViews>
  <sheetFormatPr baseColWidth="10" defaultRowHeight="20"/>
  <cols>
    <col min="1" max="1" width="17.140625" customWidth="1"/>
    <col min="2" max="2" width="57.140625" customWidth="1"/>
  </cols>
  <sheetData>
    <row r="1" spans="1:2">
      <c r="A1" s="27" t="s">
        <v>189</v>
      </c>
      <c r="B1" s="26" t="s">
        <v>247</v>
      </c>
    </row>
    <row r="2" spans="1:2">
      <c r="A2" s="27" t="s">
        <v>1</v>
      </c>
      <c r="B2" s="26" t="s">
        <v>166</v>
      </c>
    </row>
    <row r="3" spans="1:2">
      <c r="A3" s="27" t="s">
        <v>2</v>
      </c>
      <c r="B3" s="26" t="s">
        <v>173</v>
      </c>
    </row>
    <row r="5" spans="1:2" ht="23">
      <c r="A5" s="28" t="s">
        <v>191</v>
      </c>
    </row>
    <row r="6" spans="1:2" ht="189">
      <c r="A6" s="1" t="s">
        <v>174</v>
      </c>
    </row>
    <row r="8" spans="1:2" ht="23">
      <c r="A8" s="29" t="s">
        <v>192</v>
      </c>
    </row>
    <row r="9" spans="1:2" ht="210">
      <c r="A9" s="1" t="s">
        <v>175</v>
      </c>
    </row>
  </sheetData>
  <phoneticPr fontId="3"/>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88F8-1E12-7744-9D3C-AAFF63C65958}">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247</v>
      </c>
    </row>
    <row r="3" spans="1:2" ht="21">
      <c r="A3" s="32" t="s">
        <v>1</v>
      </c>
      <c r="B3" s="37" t="s">
        <v>166</v>
      </c>
    </row>
    <row r="4" spans="1:2" ht="21">
      <c r="A4" s="32" t="s">
        <v>2</v>
      </c>
      <c r="B4" s="37" t="s">
        <v>173</v>
      </c>
    </row>
    <row r="5" spans="1:2" ht="42">
      <c r="A5" s="32" t="s">
        <v>253</v>
      </c>
      <c r="B5" s="37" t="s">
        <v>174</v>
      </c>
    </row>
    <row r="6" spans="1:2" ht="168">
      <c r="A6" s="34" t="s">
        <v>288</v>
      </c>
      <c r="B6" s="38" t="s">
        <v>466</v>
      </c>
    </row>
    <row r="7" spans="1:2" ht="84">
      <c r="A7" s="35" t="s">
        <v>255</v>
      </c>
      <c r="B7" s="39" t="s">
        <v>467</v>
      </c>
    </row>
    <row r="8" spans="1:2" ht="21">
      <c r="A8" s="36" t="s">
        <v>289</v>
      </c>
      <c r="B8" s="40" t="s">
        <v>468</v>
      </c>
    </row>
    <row r="9" spans="1:2" ht="21">
      <c r="A9" s="32" t="s">
        <v>291</v>
      </c>
      <c r="B9" s="37" t="s">
        <v>372</v>
      </c>
    </row>
  </sheetData>
  <phoneticPr fontId="3"/>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5728F-F692-2B49-A11F-6C32A943E2B3}">
  <dimension ref="A1:B9"/>
  <sheetViews>
    <sheetView workbookViewId="0"/>
  </sheetViews>
  <sheetFormatPr baseColWidth="10" defaultRowHeight="20"/>
  <cols>
    <col min="1" max="1" width="17.140625" customWidth="1"/>
    <col min="2" max="2" width="57.140625" customWidth="1"/>
  </cols>
  <sheetData>
    <row r="1" spans="1:2">
      <c r="A1" s="27" t="s">
        <v>189</v>
      </c>
      <c r="B1" s="26" t="s">
        <v>248</v>
      </c>
    </row>
    <row r="2" spans="1:2">
      <c r="A2" s="27" t="s">
        <v>1</v>
      </c>
      <c r="B2" s="26" t="s">
        <v>166</v>
      </c>
    </row>
    <row r="3" spans="1:2">
      <c r="A3" s="27" t="s">
        <v>2</v>
      </c>
      <c r="B3" s="26" t="s">
        <v>176</v>
      </c>
    </row>
    <row r="5" spans="1:2" ht="23">
      <c r="A5" s="28" t="s">
        <v>191</v>
      </c>
    </row>
    <row r="6" spans="1:2" ht="147">
      <c r="A6" s="1" t="s">
        <v>177</v>
      </c>
    </row>
    <row r="8" spans="1:2" ht="23">
      <c r="A8" s="29" t="s">
        <v>192</v>
      </c>
    </row>
    <row r="9" spans="1:2" ht="189">
      <c r="A9" s="1" t="s">
        <v>178</v>
      </c>
    </row>
  </sheetData>
  <phoneticPr fontId="3"/>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53E5-8522-504B-9BDC-4E80C2FD735E}">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248</v>
      </c>
    </row>
    <row r="3" spans="1:2" ht="21">
      <c r="A3" s="32" t="s">
        <v>1</v>
      </c>
      <c r="B3" s="37" t="s">
        <v>166</v>
      </c>
    </row>
    <row r="4" spans="1:2" ht="21">
      <c r="A4" s="32" t="s">
        <v>2</v>
      </c>
      <c r="B4" s="37" t="s">
        <v>176</v>
      </c>
    </row>
    <row r="5" spans="1:2" ht="21">
      <c r="A5" s="32" t="s">
        <v>253</v>
      </c>
      <c r="B5" s="37" t="s">
        <v>177</v>
      </c>
    </row>
    <row r="6" spans="1:2" ht="168">
      <c r="A6" s="34" t="s">
        <v>288</v>
      </c>
      <c r="B6" s="38" t="s">
        <v>469</v>
      </c>
    </row>
    <row r="7" spans="1:2" ht="84">
      <c r="A7" s="35" t="s">
        <v>255</v>
      </c>
      <c r="B7" s="39" t="s">
        <v>470</v>
      </c>
    </row>
    <row r="8" spans="1:2" ht="21">
      <c r="A8" s="36" t="s">
        <v>289</v>
      </c>
      <c r="B8" s="40" t="s">
        <v>471</v>
      </c>
    </row>
    <row r="9" spans="1:2" ht="21">
      <c r="A9" s="32" t="s">
        <v>291</v>
      </c>
      <c r="B9" s="37" t="s">
        <v>472</v>
      </c>
    </row>
  </sheetData>
  <phoneticPr fontId="3"/>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36F22-6594-EB4C-881D-79F81F1F8836}">
  <dimension ref="A1:B9"/>
  <sheetViews>
    <sheetView workbookViewId="0"/>
  </sheetViews>
  <sheetFormatPr baseColWidth="10" defaultRowHeight="20"/>
  <cols>
    <col min="1" max="1" width="17.140625" customWidth="1"/>
    <col min="2" max="2" width="57.140625" customWidth="1"/>
  </cols>
  <sheetData>
    <row r="1" spans="1:2">
      <c r="A1" s="27" t="s">
        <v>189</v>
      </c>
      <c r="B1" s="26" t="s">
        <v>249</v>
      </c>
    </row>
    <row r="2" spans="1:2">
      <c r="A2" s="27" t="s">
        <v>1</v>
      </c>
      <c r="B2" s="26" t="s">
        <v>166</v>
      </c>
    </row>
    <row r="3" spans="1:2">
      <c r="A3" s="27" t="s">
        <v>2</v>
      </c>
      <c r="B3" s="26" t="s">
        <v>179</v>
      </c>
    </row>
    <row r="5" spans="1:2" ht="23">
      <c r="A5" s="28" t="s">
        <v>191</v>
      </c>
    </row>
    <row r="6" spans="1:2" ht="168">
      <c r="A6" s="1" t="s">
        <v>180</v>
      </c>
    </row>
    <row r="8" spans="1:2" ht="23">
      <c r="A8" s="29" t="s">
        <v>192</v>
      </c>
    </row>
    <row r="9" spans="1:2" ht="147">
      <c r="A9" s="1" t="s">
        <v>181</v>
      </c>
    </row>
  </sheetData>
  <phoneticPr fontId="3"/>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EAC2-E51A-B74C-A09D-36049FB124DC}">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249</v>
      </c>
    </row>
    <row r="3" spans="1:2" ht="21">
      <c r="A3" s="32" t="s">
        <v>1</v>
      </c>
      <c r="B3" s="37" t="s">
        <v>166</v>
      </c>
    </row>
    <row r="4" spans="1:2" ht="21">
      <c r="A4" s="32" t="s">
        <v>2</v>
      </c>
      <c r="B4" s="37" t="s">
        <v>179</v>
      </c>
    </row>
    <row r="5" spans="1:2" ht="21">
      <c r="A5" s="32" t="s">
        <v>253</v>
      </c>
      <c r="B5" s="37" t="s">
        <v>180</v>
      </c>
    </row>
    <row r="6" spans="1:2" ht="105">
      <c r="A6" s="34" t="s">
        <v>288</v>
      </c>
      <c r="B6" s="38" t="s">
        <v>473</v>
      </c>
    </row>
    <row r="7" spans="1:2" ht="84">
      <c r="A7" s="35" t="s">
        <v>255</v>
      </c>
      <c r="B7" s="39" t="s">
        <v>474</v>
      </c>
    </row>
    <row r="8" spans="1:2" ht="21">
      <c r="A8" s="36" t="s">
        <v>289</v>
      </c>
      <c r="B8" s="40" t="s">
        <v>475</v>
      </c>
    </row>
    <row r="9" spans="1:2" ht="21">
      <c r="A9" s="32" t="s">
        <v>291</v>
      </c>
      <c r="B9" s="37" t="s">
        <v>372</v>
      </c>
    </row>
  </sheetData>
  <phoneticPr fontId="3"/>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FB3A-F439-DA46-AA42-52EB7C6ACD9F}">
  <dimension ref="A1:B9"/>
  <sheetViews>
    <sheetView workbookViewId="0"/>
  </sheetViews>
  <sheetFormatPr baseColWidth="10" defaultRowHeight="20"/>
  <cols>
    <col min="1" max="1" width="17.140625" customWidth="1"/>
    <col min="2" max="2" width="57.140625" customWidth="1"/>
  </cols>
  <sheetData>
    <row r="1" spans="1:2">
      <c r="A1" s="27" t="s">
        <v>189</v>
      </c>
      <c r="B1" s="26" t="s">
        <v>250</v>
      </c>
    </row>
    <row r="2" spans="1:2">
      <c r="A2" s="27" t="s">
        <v>1</v>
      </c>
      <c r="B2" s="26" t="s">
        <v>166</v>
      </c>
    </row>
    <row r="3" spans="1:2">
      <c r="A3" s="27" t="s">
        <v>2</v>
      </c>
      <c r="B3" s="26" t="s">
        <v>182</v>
      </c>
    </row>
    <row r="5" spans="1:2" ht="23">
      <c r="A5" s="28" t="s">
        <v>191</v>
      </c>
    </row>
    <row r="6" spans="1:2" ht="210">
      <c r="A6" s="1" t="s">
        <v>183</v>
      </c>
    </row>
    <row r="8" spans="1:2" ht="23">
      <c r="A8" s="29" t="s">
        <v>192</v>
      </c>
    </row>
    <row r="9" spans="1:2" ht="231">
      <c r="A9" s="1" t="s">
        <v>184</v>
      </c>
    </row>
  </sheetData>
  <phoneticPr fontId="3"/>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D84A-9474-244A-A00F-CB3962FC2BEE}">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250</v>
      </c>
    </row>
    <row r="3" spans="1:2" ht="21">
      <c r="A3" s="32" t="s">
        <v>1</v>
      </c>
      <c r="B3" s="37" t="s">
        <v>166</v>
      </c>
    </row>
    <row r="4" spans="1:2" ht="21">
      <c r="A4" s="32" t="s">
        <v>2</v>
      </c>
      <c r="B4" s="37" t="s">
        <v>182</v>
      </c>
    </row>
    <row r="5" spans="1:2" ht="42">
      <c r="A5" s="32" t="s">
        <v>253</v>
      </c>
      <c r="B5" s="37" t="s">
        <v>183</v>
      </c>
    </row>
    <row r="6" spans="1:2" ht="147">
      <c r="A6" s="34" t="s">
        <v>288</v>
      </c>
      <c r="B6" s="38" t="s">
        <v>476</v>
      </c>
    </row>
    <row r="7" spans="1:2" ht="84">
      <c r="A7" s="35" t="s">
        <v>255</v>
      </c>
      <c r="B7" s="39" t="s">
        <v>477</v>
      </c>
    </row>
    <row r="8" spans="1:2" ht="21">
      <c r="A8" s="36" t="s">
        <v>289</v>
      </c>
      <c r="B8" s="40" t="s">
        <v>478</v>
      </c>
    </row>
    <row r="9" spans="1:2" ht="21">
      <c r="A9" s="32" t="s">
        <v>291</v>
      </c>
      <c r="B9" s="37" t="s">
        <v>472</v>
      </c>
    </row>
  </sheetData>
  <phoneticPr fontId="3"/>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B0B2-92ED-0E49-84FA-89C954DE181F}">
  <dimension ref="A1:B9"/>
  <sheetViews>
    <sheetView workbookViewId="0"/>
  </sheetViews>
  <sheetFormatPr baseColWidth="10" defaultRowHeight="20"/>
  <cols>
    <col min="1" max="1" width="17.140625" customWidth="1"/>
    <col min="2" max="2" width="57.140625" customWidth="1"/>
  </cols>
  <sheetData>
    <row r="1" spans="1:2">
      <c r="A1" s="27" t="s">
        <v>189</v>
      </c>
      <c r="B1" s="26" t="s">
        <v>251</v>
      </c>
    </row>
    <row r="2" spans="1:2">
      <c r="A2" s="27" t="s">
        <v>1</v>
      </c>
      <c r="B2" s="26" t="s">
        <v>166</v>
      </c>
    </row>
    <row r="3" spans="1:2">
      <c r="A3" s="27" t="s">
        <v>2</v>
      </c>
      <c r="B3" s="26" t="s">
        <v>185</v>
      </c>
    </row>
    <row r="5" spans="1:2" ht="23">
      <c r="A5" s="28" t="s">
        <v>191</v>
      </c>
    </row>
    <row r="6" spans="1:2" ht="168">
      <c r="A6" s="1" t="s">
        <v>186</v>
      </c>
    </row>
    <row r="8" spans="1:2" ht="23">
      <c r="A8" s="29" t="s">
        <v>192</v>
      </c>
    </row>
    <row r="9" spans="1:2" ht="231">
      <c r="A9" s="1" t="s">
        <v>187</v>
      </c>
    </row>
  </sheetData>
  <phoneticPr fontId="3"/>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B508-ABF7-D746-8CD5-8ECF8E21EE2A}">
  <sheetPr>
    <tabColor rgb="FF70AD47"/>
  </sheetPr>
  <dimension ref="A1:B9"/>
  <sheetViews>
    <sheetView workbookViewId="0"/>
  </sheetViews>
  <sheetFormatPr baseColWidth="10" defaultRowHeight="20"/>
  <cols>
    <col min="1" max="1" width="17.140625" customWidth="1"/>
    <col min="2" max="2" width="71.42578125" customWidth="1"/>
  </cols>
  <sheetData>
    <row r="1" spans="1:2">
      <c r="A1" s="33" t="s">
        <v>286</v>
      </c>
      <c r="B1" s="33" t="s">
        <v>287</v>
      </c>
    </row>
    <row r="2" spans="1:2" ht="21">
      <c r="A2" s="32" t="s">
        <v>189</v>
      </c>
      <c r="B2" s="37" t="s">
        <v>251</v>
      </c>
    </row>
    <row r="3" spans="1:2" ht="21">
      <c r="A3" s="32" t="s">
        <v>1</v>
      </c>
      <c r="B3" s="37" t="s">
        <v>166</v>
      </c>
    </row>
    <row r="4" spans="1:2" ht="21">
      <c r="A4" s="32" t="s">
        <v>2</v>
      </c>
      <c r="B4" s="37" t="s">
        <v>185</v>
      </c>
    </row>
    <row r="5" spans="1:2" ht="21">
      <c r="A5" s="32" t="s">
        <v>253</v>
      </c>
      <c r="B5" s="37" t="s">
        <v>186</v>
      </c>
    </row>
    <row r="6" spans="1:2" ht="147">
      <c r="A6" s="34" t="s">
        <v>288</v>
      </c>
      <c r="B6" s="38" t="s">
        <v>479</v>
      </c>
    </row>
    <row r="7" spans="1:2" ht="105">
      <c r="A7" s="35" t="s">
        <v>255</v>
      </c>
      <c r="B7" s="39" t="s">
        <v>480</v>
      </c>
    </row>
    <row r="8" spans="1:2" ht="21">
      <c r="A8" s="36" t="s">
        <v>289</v>
      </c>
      <c r="B8" s="40" t="s">
        <v>481</v>
      </c>
    </row>
    <row r="9" spans="1:2" ht="21">
      <c r="A9" s="32" t="s">
        <v>291</v>
      </c>
      <c r="B9" s="37" t="s">
        <v>472</v>
      </c>
    </row>
  </sheetData>
  <phoneticPr fontId="3"/>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DB20-D960-B648-A3F6-9DD66E774D43}">
  <dimension ref="A1:E27"/>
  <sheetViews>
    <sheetView workbookViewId="0">
      <pane ySplit="1" topLeftCell="A2" activePane="bottomLeft" state="frozen"/>
      <selection pane="bottomLeft"/>
    </sheetView>
  </sheetViews>
  <sheetFormatPr baseColWidth="10" defaultRowHeight="20"/>
  <cols>
    <col min="1" max="1" width="5.7109375" customWidth="1"/>
    <col min="2" max="2" width="25.7109375" customWidth="1"/>
    <col min="3" max="3" width="17.140625" customWidth="1"/>
    <col min="4" max="4" width="35.7109375" customWidth="1"/>
    <col min="5" max="5" width="8.5703125" customWidth="1"/>
  </cols>
  <sheetData>
    <row r="1" spans="1:5">
      <c r="A1" s="41" t="s">
        <v>0</v>
      </c>
      <c r="B1" s="41" t="s">
        <v>1</v>
      </c>
      <c r="C1" s="41" t="s">
        <v>2</v>
      </c>
      <c r="D1" s="41" t="s">
        <v>482</v>
      </c>
      <c r="E1" s="41" t="s">
        <v>483</v>
      </c>
    </row>
    <row r="2" spans="1:5">
      <c r="A2" s="44" t="s">
        <v>484</v>
      </c>
      <c r="B2" s="44" t="s">
        <v>5</v>
      </c>
      <c r="C2" s="44" t="s">
        <v>485</v>
      </c>
      <c r="D2" s="44" t="s">
        <v>486</v>
      </c>
      <c r="E2" s="44" t="s">
        <v>487</v>
      </c>
    </row>
    <row r="3" spans="1:5">
      <c r="A3" s="43" t="s">
        <v>488</v>
      </c>
      <c r="B3" s="43" t="s">
        <v>5</v>
      </c>
      <c r="C3" s="43" t="s">
        <v>489</v>
      </c>
      <c r="D3" s="43" t="s">
        <v>490</v>
      </c>
      <c r="E3" s="43" t="s">
        <v>487</v>
      </c>
    </row>
    <row r="4" spans="1:5">
      <c r="A4" s="44" t="s">
        <v>491</v>
      </c>
      <c r="B4" s="44" t="s">
        <v>45</v>
      </c>
      <c r="C4" s="44" t="s">
        <v>492</v>
      </c>
      <c r="D4" s="44" t="s">
        <v>493</v>
      </c>
      <c r="E4" s="44" t="s">
        <v>487</v>
      </c>
    </row>
    <row r="5" spans="1:5">
      <c r="A5" s="43" t="s">
        <v>494</v>
      </c>
      <c r="B5" s="43" t="s">
        <v>45</v>
      </c>
      <c r="C5" s="43" t="s">
        <v>495</v>
      </c>
      <c r="D5" s="43" t="s">
        <v>496</v>
      </c>
      <c r="E5" s="43" t="s">
        <v>487</v>
      </c>
    </row>
    <row r="6" spans="1:5">
      <c r="A6" s="44" t="s">
        <v>497</v>
      </c>
      <c r="B6" s="44" t="s">
        <v>45</v>
      </c>
      <c r="C6" s="44" t="s">
        <v>498</v>
      </c>
      <c r="D6" s="44" t="s">
        <v>499</v>
      </c>
      <c r="E6" s="44" t="s">
        <v>500</v>
      </c>
    </row>
    <row r="7" spans="1:5">
      <c r="A7" s="43" t="s">
        <v>501</v>
      </c>
      <c r="B7" s="43" t="s">
        <v>45</v>
      </c>
      <c r="C7" s="43" t="s">
        <v>502</v>
      </c>
      <c r="D7" s="43" t="s">
        <v>503</v>
      </c>
      <c r="E7" s="43" t="s">
        <v>500</v>
      </c>
    </row>
    <row r="8" spans="1:5">
      <c r="A8" s="44" t="s">
        <v>504</v>
      </c>
      <c r="B8" s="44" t="s">
        <v>45</v>
      </c>
      <c r="C8" s="44" t="s">
        <v>46</v>
      </c>
      <c r="D8" s="44" t="s">
        <v>505</v>
      </c>
      <c r="E8" s="44" t="s">
        <v>487</v>
      </c>
    </row>
    <row r="9" spans="1:5">
      <c r="A9" s="43" t="s">
        <v>506</v>
      </c>
      <c r="B9" s="43" t="s">
        <v>110</v>
      </c>
      <c r="C9" s="43" t="s">
        <v>507</v>
      </c>
      <c r="D9" s="43" t="s">
        <v>508</v>
      </c>
      <c r="E9" s="43" t="s">
        <v>500</v>
      </c>
    </row>
    <row r="10" spans="1:5">
      <c r="A10" s="44" t="s">
        <v>509</v>
      </c>
      <c r="B10" s="44" t="s">
        <v>110</v>
      </c>
      <c r="C10" s="44" t="s">
        <v>510</v>
      </c>
      <c r="D10" s="44" t="s">
        <v>511</v>
      </c>
      <c r="E10" s="44" t="s">
        <v>500</v>
      </c>
    </row>
    <row r="11" spans="1:5">
      <c r="A11" s="43" t="s">
        <v>512</v>
      </c>
      <c r="B11" s="43" t="s">
        <v>110</v>
      </c>
      <c r="C11" s="43" t="s">
        <v>136</v>
      </c>
      <c r="D11" s="43" t="s">
        <v>513</v>
      </c>
      <c r="E11" s="43" t="s">
        <v>500</v>
      </c>
    </row>
    <row r="12" spans="1:5">
      <c r="A12" s="44" t="s">
        <v>514</v>
      </c>
      <c r="B12" s="44" t="s">
        <v>135</v>
      </c>
      <c r="C12" s="44" t="s">
        <v>515</v>
      </c>
      <c r="D12" s="44" t="s">
        <v>516</v>
      </c>
      <c r="E12" s="44" t="s">
        <v>487</v>
      </c>
    </row>
    <row r="13" spans="1:5">
      <c r="A13" s="43" t="s">
        <v>517</v>
      </c>
      <c r="B13" s="43" t="s">
        <v>135</v>
      </c>
      <c r="C13" s="43" t="s">
        <v>518</v>
      </c>
      <c r="D13" s="43" t="s">
        <v>519</v>
      </c>
      <c r="E13" s="43" t="s">
        <v>500</v>
      </c>
    </row>
    <row r="14" spans="1:5">
      <c r="A14" s="44" t="s">
        <v>520</v>
      </c>
      <c r="B14" s="44" t="s">
        <v>135</v>
      </c>
      <c r="C14" s="44" t="s">
        <v>521</v>
      </c>
      <c r="D14" s="44" t="s">
        <v>522</v>
      </c>
      <c r="E14" s="44" t="s">
        <v>500</v>
      </c>
    </row>
    <row r="15" spans="1:5">
      <c r="A15" s="43" t="s">
        <v>523</v>
      </c>
      <c r="B15" s="43" t="s">
        <v>135</v>
      </c>
      <c r="C15" s="43" t="s">
        <v>524</v>
      </c>
      <c r="D15" s="43" t="s">
        <v>525</v>
      </c>
      <c r="E15" s="43" t="s">
        <v>526</v>
      </c>
    </row>
    <row r="16" spans="1:5">
      <c r="A16" s="44" t="s">
        <v>527</v>
      </c>
      <c r="B16" s="44" t="s">
        <v>135</v>
      </c>
      <c r="C16" s="44" t="s">
        <v>528</v>
      </c>
      <c r="D16" s="44" t="s">
        <v>529</v>
      </c>
      <c r="E16" s="44" t="s">
        <v>500</v>
      </c>
    </row>
    <row r="17" spans="1:5">
      <c r="A17" s="43" t="s">
        <v>530</v>
      </c>
      <c r="B17" s="43" t="s">
        <v>135</v>
      </c>
      <c r="C17" s="43" t="s">
        <v>531</v>
      </c>
      <c r="D17" s="43" t="s">
        <v>532</v>
      </c>
      <c r="E17" s="43" t="s">
        <v>500</v>
      </c>
    </row>
    <row r="18" spans="1:5">
      <c r="A18" s="44" t="s">
        <v>533</v>
      </c>
      <c r="B18" s="44" t="s">
        <v>135</v>
      </c>
      <c r="C18" s="44" t="s">
        <v>534</v>
      </c>
      <c r="D18" s="44" t="s">
        <v>535</v>
      </c>
      <c r="E18" s="44" t="s">
        <v>526</v>
      </c>
    </row>
    <row r="19" spans="1:5">
      <c r="A19" s="43" t="s">
        <v>536</v>
      </c>
      <c r="B19" s="43" t="s">
        <v>166</v>
      </c>
      <c r="C19" s="43" t="s">
        <v>537</v>
      </c>
      <c r="D19" s="43" t="s">
        <v>538</v>
      </c>
      <c r="E19" s="43" t="s">
        <v>500</v>
      </c>
    </row>
    <row r="20" spans="1:5">
      <c r="A20" s="44" t="s">
        <v>539</v>
      </c>
      <c r="B20" s="44" t="s">
        <v>166</v>
      </c>
      <c r="C20" s="44" t="s">
        <v>540</v>
      </c>
      <c r="D20" s="44" t="s">
        <v>541</v>
      </c>
      <c r="E20" s="44" t="s">
        <v>500</v>
      </c>
    </row>
    <row r="21" spans="1:5">
      <c r="A21" s="43" t="s">
        <v>542</v>
      </c>
      <c r="B21" s="43" t="s">
        <v>166</v>
      </c>
      <c r="C21" s="43" t="s">
        <v>543</v>
      </c>
      <c r="D21" s="43" t="s">
        <v>544</v>
      </c>
      <c r="E21" s="43" t="s">
        <v>526</v>
      </c>
    </row>
    <row r="22" spans="1:5">
      <c r="A22" s="44" t="s">
        <v>973</v>
      </c>
      <c r="B22" s="44" t="s">
        <v>135</v>
      </c>
      <c r="C22" s="44" t="s">
        <v>974</v>
      </c>
      <c r="D22" s="44" t="s">
        <v>975</v>
      </c>
      <c r="E22" s="44" t="s">
        <v>500</v>
      </c>
    </row>
    <row r="23" spans="1:5">
      <c r="A23" s="43" t="s">
        <v>984</v>
      </c>
      <c r="B23" s="43" t="s">
        <v>135</v>
      </c>
      <c r="C23" s="43" t="s">
        <v>1046</v>
      </c>
      <c r="D23" s="43" t="s">
        <v>1047</v>
      </c>
      <c r="E23" s="43" t="s">
        <v>500</v>
      </c>
    </row>
    <row r="24" spans="1:5">
      <c r="A24" s="44" t="s">
        <v>996</v>
      </c>
      <c r="B24" s="44" t="s">
        <v>45</v>
      </c>
      <c r="C24" s="44" t="s">
        <v>1048</v>
      </c>
      <c r="D24" s="44" t="s">
        <v>1049</v>
      </c>
      <c r="E24" s="44" t="s">
        <v>500</v>
      </c>
    </row>
    <row r="25" spans="1:5">
      <c r="A25" s="43" t="s">
        <v>1010</v>
      </c>
      <c r="B25" s="43" t="s">
        <v>45</v>
      </c>
      <c r="C25" s="43" t="s">
        <v>1050</v>
      </c>
      <c r="D25" s="43" t="s">
        <v>1051</v>
      </c>
      <c r="E25" s="43" t="s">
        <v>487</v>
      </c>
    </row>
    <row r="26" spans="1:5">
      <c r="A26" s="44" t="s">
        <v>1017</v>
      </c>
      <c r="B26" s="44" t="s">
        <v>166</v>
      </c>
      <c r="C26" s="44" t="s">
        <v>1052</v>
      </c>
      <c r="D26" s="44" t="s">
        <v>1053</v>
      </c>
      <c r="E26" s="44" t="s">
        <v>500</v>
      </c>
    </row>
    <row r="27" spans="1:5">
      <c r="A27" s="43" t="s">
        <v>1039</v>
      </c>
      <c r="B27" s="43" t="s">
        <v>110</v>
      </c>
      <c r="C27" s="43" t="s">
        <v>1054</v>
      </c>
      <c r="D27" s="43" t="s">
        <v>1055</v>
      </c>
      <c r="E27" s="43" t="s">
        <v>526</v>
      </c>
    </row>
  </sheetData>
  <phoneticPr fontId="3"/>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BEFA-7205-F441-968F-536A7BC8E701}">
  <dimension ref="A1:H19"/>
  <sheetViews>
    <sheetView workbookViewId="0">
      <selection sqref="A1:H1"/>
    </sheetView>
  </sheetViews>
  <sheetFormatPr baseColWidth="10" defaultRowHeight="20"/>
  <cols>
    <col min="1" max="8" width="11.42578125" customWidth="1"/>
  </cols>
  <sheetData>
    <row r="1" spans="1:8" ht="24">
      <c r="A1" s="46" t="s">
        <v>545</v>
      </c>
      <c r="B1" s="45"/>
      <c r="C1" s="45"/>
      <c r="D1" s="45"/>
      <c r="E1" s="45"/>
      <c r="F1" s="45"/>
      <c r="G1" s="45"/>
      <c r="H1" s="45"/>
    </row>
    <row r="2" spans="1:8" ht="40" customHeight="1">
      <c r="A2" s="47" t="s">
        <v>546</v>
      </c>
      <c r="B2" s="45"/>
      <c r="C2" s="45"/>
      <c r="D2" s="45"/>
      <c r="E2" s="45"/>
      <c r="F2" s="45"/>
      <c r="G2" s="45"/>
      <c r="H2" s="45"/>
    </row>
    <row r="4" spans="1:8">
      <c r="A4" s="33" t="s">
        <v>547</v>
      </c>
      <c r="B4" s="33" t="s">
        <v>548</v>
      </c>
      <c r="C4" s="33" t="s">
        <v>549</v>
      </c>
      <c r="D4" s="33" t="s">
        <v>550</v>
      </c>
      <c r="E4" s="33" t="s">
        <v>551</v>
      </c>
      <c r="F4" s="33" t="s">
        <v>552</v>
      </c>
      <c r="G4" s="33" t="s">
        <v>553</v>
      </c>
      <c r="H4" s="33" t="s">
        <v>554</v>
      </c>
    </row>
    <row r="5" spans="1:8">
      <c r="A5" t="s">
        <v>555</v>
      </c>
      <c r="B5" t="s">
        <v>556</v>
      </c>
      <c r="C5" t="s">
        <v>557</v>
      </c>
      <c r="D5" s="48">
        <v>450000</v>
      </c>
      <c r="E5" s="48">
        <v>520000</v>
      </c>
      <c r="F5" s="48">
        <v>480000</v>
      </c>
      <c r="G5" s="48">
        <v>510000</v>
      </c>
      <c r="H5" s="48">
        <f>SUM(D5:G5)</f>
        <v>1960000</v>
      </c>
    </row>
    <row r="6" spans="1:8">
      <c r="A6" t="s">
        <v>558</v>
      </c>
      <c r="B6" t="s">
        <v>559</v>
      </c>
      <c r="C6" t="s">
        <v>557</v>
      </c>
      <c r="D6" s="48">
        <v>380000</v>
      </c>
      <c r="E6" s="48">
        <v>410000</v>
      </c>
      <c r="F6" s="48">
        <v>395000</v>
      </c>
      <c r="G6" s="48">
        <v>420000</v>
      </c>
      <c r="H6" s="48">
        <f>SUM(D6:G6)</f>
        <v>1605000</v>
      </c>
    </row>
    <row r="7" spans="1:8">
      <c r="A7" t="s">
        <v>560</v>
      </c>
      <c r="B7" t="s">
        <v>561</v>
      </c>
      <c r="C7" t="s">
        <v>562</v>
      </c>
      <c r="D7" s="48">
        <v>320000</v>
      </c>
      <c r="E7" s="48">
        <v>350000</v>
      </c>
      <c r="F7" s="48">
        <v>340000</v>
      </c>
      <c r="G7" s="48">
        <v>360000</v>
      </c>
      <c r="H7" s="48">
        <f>SUM(D7:G7)</f>
        <v>1370000</v>
      </c>
    </row>
    <row r="8" spans="1:8">
      <c r="A8" t="s">
        <v>563</v>
      </c>
      <c r="B8" t="s">
        <v>564</v>
      </c>
      <c r="C8" t="s">
        <v>557</v>
      </c>
      <c r="D8" s="48">
        <v>510000</v>
      </c>
      <c r="E8" s="48">
        <v>480000</v>
      </c>
      <c r="F8" s="48">
        <v>530000</v>
      </c>
      <c r="G8" s="48">
        <v>550000</v>
      </c>
      <c r="H8" s="48">
        <f>SUM(D8:G8)</f>
        <v>2070000</v>
      </c>
    </row>
    <row r="9" spans="1:8">
      <c r="A9" t="s">
        <v>565</v>
      </c>
      <c r="B9" t="s">
        <v>566</v>
      </c>
      <c r="C9" t="s">
        <v>567</v>
      </c>
      <c r="D9" s="48">
        <v>280000</v>
      </c>
      <c r="E9" s="48">
        <v>290000</v>
      </c>
      <c r="F9" s="48">
        <v>275000</v>
      </c>
      <c r="G9" s="48">
        <v>300000</v>
      </c>
      <c r="H9" s="48">
        <f>SUM(D9:G9)</f>
        <v>1145000</v>
      </c>
    </row>
    <row r="10" spans="1:8">
      <c r="A10" t="s">
        <v>568</v>
      </c>
      <c r="B10" t="s">
        <v>569</v>
      </c>
      <c r="C10" t="s">
        <v>562</v>
      </c>
      <c r="D10" s="48">
        <v>420000</v>
      </c>
      <c r="E10" s="48">
        <v>440000</v>
      </c>
      <c r="F10" s="48">
        <v>410000</v>
      </c>
      <c r="G10" s="48">
        <v>450000</v>
      </c>
      <c r="H10" s="48">
        <f>SUM(D10:G10)</f>
        <v>1720000</v>
      </c>
    </row>
    <row r="11" spans="1:8">
      <c r="A11" t="s">
        <v>570</v>
      </c>
      <c r="B11" t="s">
        <v>571</v>
      </c>
      <c r="C11" t="s">
        <v>557</v>
      </c>
      <c r="D11" s="48">
        <v>490000</v>
      </c>
      <c r="E11" s="48">
        <v>510000</v>
      </c>
      <c r="F11" s="48">
        <v>500000</v>
      </c>
      <c r="G11" s="48">
        <v>520000</v>
      </c>
      <c r="H11" s="48">
        <f>SUM(D11:G11)</f>
        <v>2020000</v>
      </c>
    </row>
    <row r="12" spans="1:8">
      <c r="A12" t="s">
        <v>572</v>
      </c>
      <c r="B12" t="s">
        <v>573</v>
      </c>
      <c r="C12" t="s">
        <v>567</v>
      </c>
      <c r="D12" s="48">
        <v>310000</v>
      </c>
      <c r="E12" s="48">
        <v>320000</v>
      </c>
      <c r="F12" s="48">
        <v>305000</v>
      </c>
      <c r="G12" s="48">
        <v>330000</v>
      </c>
      <c r="H12" s="48">
        <f>SUM(D12:G12)</f>
        <v>1265000</v>
      </c>
    </row>
    <row r="13" spans="1:8">
      <c r="A13" t="s">
        <v>574</v>
      </c>
      <c r="B13" t="s">
        <v>575</v>
      </c>
      <c r="C13" t="s">
        <v>562</v>
      </c>
      <c r="D13" s="48">
        <v>370000</v>
      </c>
      <c r="E13" s="48">
        <v>390000</v>
      </c>
      <c r="F13" s="48">
        <v>380000</v>
      </c>
      <c r="G13" s="48">
        <v>400000</v>
      </c>
      <c r="H13" s="48">
        <f>SUM(D13:G13)</f>
        <v>1540000</v>
      </c>
    </row>
    <row r="14" spans="1:8">
      <c r="A14" t="s">
        <v>576</v>
      </c>
      <c r="B14" t="s">
        <v>577</v>
      </c>
      <c r="C14" t="s">
        <v>557</v>
      </c>
      <c r="D14" s="48">
        <v>460000</v>
      </c>
      <c r="E14" s="48">
        <v>475000</v>
      </c>
      <c r="F14" s="48">
        <v>465000</v>
      </c>
      <c r="G14" s="48">
        <v>490000</v>
      </c>
      <c r="H14" s="48">
        <f>SUM(D14:G14)</f>
        <v>1890000</v>
      </c>
    </row>
    <row r="15" spans="1:8">
      <c r="A15" t="s">
        <v>578</v>
      </c>
      <c r="B15" t="s">
        <v>579</v>
      </c>
      <c r="C15" t="s">
        <v>567</v>
      </c>
      <c r="D15" s="48">
        <v>290000</v>
      </c>
      <c r="E15" s="48">
        <v>310000</v>
      </c>
      <c r="F15" s="48">
        <v>295000</v>
      </c>
      <c r="G15" s="48">
        <v>315000</v>
      </c>
      <c r="H15" s="48">
        <f>SUM(D15:G15)</f>
        <v>1210000</v>
      </c>
    </row>
    <row r="16" spans="1:8">
      <c r="A16" t="s">
        <v>580</v>
      </c>
      <c r="B16" t="s">
        <v>581</v>
      </c>
      <c r="C16" t="s">
        <v>557</v>
      </c>
      <c r="D16" s="48">
        <v>530000</v>
      </c>
      <c r="E16" s="48">
        <v>550000</v>
      </c>
      <c r="F16" s="48">
        <v>540000</v>
      </c>
      <c r="G16" s="48">
        <v>560000</v>
      </c>
      <c r="H16" s="48">
        <f>SUM(D16:G16)</f>
        <v>2180000</v>
      </c>
    </row>
    <row r="17" spans="1:8">
      <c r="A17" t="s">
        <v>582</v>
      </c>
      <c r="B17" t="s">
        <v>583</v>
      </c>
      <c r="C17" t="s">
        <v>562</v>
      </c>
      <c r="D17" s="48">
        <v>340000</v>
      </c>
      <c r="E17" s="48">
        <v>360000</v>
      </c>
      <c r="F17" s="48">
        <v>350000</v>
      </c>
      <c r="G17" s="48">
        <v>375000</v>
      </c>
      <c r="H17" s="48">
        <f>SUM(D17:G17)</f>
        <v>1425000</v>
      </c>
    </row>
    <row r="18" spans="1:8">
      <c r="A18" t="s">
        <v>584</v>
      </c>
      <c r="B18" t="s">
        <v>585</v>
      </c>
      <c r="C18" t="s">
        <v>557</v>
      </c>
      <c r="D18" s="48">
        <v>470000</v>
      </c>
      <c r="E18" s="48">
        <v>490000</v>
      </c>
      <c r="F18" s="48">
        <v>480000</v>
      </c>
      <c r="G18" s="48">
        <v>500000</v>
      </c>
      <c r="H18" s="48">
        <f>SUM(D18:G18)</f>
        <v>1940000</v>
      </c>
    </row>
    <row r="19" spans="1:8">
      <c r="A19" t="s">
        <v>586</v>
      </c>
      <c r="B19" t="s">
        <v>587</v>
      </c>
      <c r="C19" t="s">
        <v>567</v>
      </c>
      <c r="D19" s="48">
        <v>300000</v>
      </c>
      <c r="E19" s="48">
        <v>315000</v>
      </c>
      <c r="F19" s="48">
        <v>310000</v>
      </c>
      <c r="G19" s="48">
        <v>325000</v>
      </c>
      <c r="H19" s="48">
        <f>SUM(D19:G19)</f>
        <v>1250000</v>
      </c>
    </row>
  </sheetData>
  <mergeCells count="2">
    <mergeCell ref="A1:H1"/>
    <mergeCell ref="A2:H2"/>
  </mergeCells>
  <phoneticPr fontId="3"/>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2B405-2B1A-574D-BE91-8B792C5D0058}">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49" t="s">
        <v>189</v>
      </c>
      <c r="B2" s="43" t="s">
        <v>484</v>
      </c>
    </row>
    <row r="3" spans="1:2">
      <c r="A3" s="49" t="s">
        <v>1</v>
      </c>
      <c r="B3" s="43" t="s">
        <v>5</v>
      </c>
    </row>
    <row r="4" spans="1:2">
      <c r="A4" s="49" t="s">
        <v>2</v>
      </c>
      <c r="B4" s="43" t="s">
        <v>33</v>
      </c>
    </row>
    <row r="5" spans="1:2">
      <c r="A5" s="49" t="s">
        <v>253</v>
      </c>
      <c r="B5" s="43" t="s">
        <v>588</v>
      </c>
    </row>
    <row r="6" spans="1:2" ht="100" customHeight="1">
      <c r="A6" s="50" t="s">
        <v>288</v>
      </c>
      <c r="B6" s="51" t="s">
        <v>589</v>
      </c>
    </row>
    <row r="7" spans="1:2">
      <c r="A7" s="52" t="s">
        <v>590</v>
      </c>
      <c r="B7" s="53" t="s">
        <v>591</v>
      </c>
    </row>
    <row r="8" spans="1:2">
      <c r="A8" s="54" t="s">
        <v>592</v>
      </c>
      <c r="B8" s="55" t="s">
        <v>593</v>
      </c>
    </row>
  </sheetData>
  <phoneticPr fontId="3"/>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C105-7F45-1F43-88D7-870DC635FD55}">
  <dimension ref="A1:F24"/>
  <sheetViews>
    <sheetView workbookViewId="0">
      <selection sqref="A1:F1"/>
    </sheetView>
  </sheetViews>
  <sheetFormatPr baseColWidth="10" defaultRowHeight="20"/>
  <cols>
    <col min="1" max="6" width="11.42578125" customWidth="1"/>
  </cols>
  <sheetData>
    <row r="1" spans="1:6" ht="24">
      <c r="A1" s="46" t="s">
        <v>594</v>
      </c>
      <c r="B1" s="45"/>
      <c r="C1" s="45"/>
      <c r="D1" s="45"/>
      <c r="E1" s="45"/>
      <c r="F1" s="45"/>
    </row>
    <row r="2" spans="1:6" ht="40" customHeight="1">
      <c r="A2" s="47" t="s">
        <v>595</v>
      </c>
      <c r="B2" s="45"/>
      <c r="C2" s="45"/>
      <c r="D2" s="45"/>
      <c r="E2" s="45"/>
      <c r="F2" s="45"/>
    </row>
    <row r="4" spans="1:6">
      <c r="A4" s="33" t="s">
        <v>596</v>
      </c>
      <c r="B4" s="33" t="s">
        <v>597</v>
      </c>
      <c r="C4" s="33" t="s">
        <v>598</v>
      </c>
      <c r="D4" s="33" t="s">
        <v>599</v>
      </c>
      <c r="E4" s="33" t="s">
        <v>600</v>
      </c>
      <c r="F4" s="33" t="s">
        <v>601</v>
      </c>
    </row>
    <row r="5" spans="1:6">
      <c r="A5" s="2" t="s">
        <v>602</v>
      </c>
      <c r="B5" s="2" t="s">
        <v>603</v>
      </c>
      <c r="C5" s="2" t="s">
        <v>604</v>
      </c>
      <c r="D5" s="56">
        <v>150</v>
      </c>
      <c r="E5" s="56">
        <v>500</v>
      </c>
      <c r="F5" s="56">
        <f>D5*E5</f>
        <v>75000</v>
      </c>
    </row>
    <row r="6" spans="1:6">
      <c r="A6" t="s">
        <v>605</v>
      </c>
      <c r="B6" t="s">
        <v>606</v>
      </c>
      <c r="C6" t="s">
        <v>604</v>
      </c>
      <c r="D6" s="48">
        <v>280</v>
      </c>
      <c r="E6" s="48">
        <v>320</v>
      </c>
      <c r="F6" s="48">
        <f>D6*E6</f>
        <v>89600</v>
      </c>
    </row>
    <row r="7" spans="1:6">
      <c r="A7" s="2" t="s">
        <v>607</v>
      </c>
      <c r="B7" s="2" t="s">
        <v>608</v>
      </c>
      <c r="C7" s="2" t="s">
        <v>609</v>
      </c>
      <c r="D7" s="56">
        <v>980</v>
      </c>
      <c r="E7" s="56">
        <v>150</v>
      </c>
      <c r="F7" s="56">
        <f>D7*E7</f>
        <v>147000</v>
      </c>
    </row>
    <row r="8" spans="1:6">
      <c r="A8" t="s">
        <v>610</v>
      </c>
      <c r="B8" t="s">
        <v>611</v>
      </c>
      <c r="C8" t="s">
        <v>604</v>
      </c>
      <c r="D8" s="48">
        <v>120</v>
      </c>
      <c r="E8" s="48">
        <v>800</v>
      </c>
      <c r="F8" s="48">
        <f>D8*E8</f>
        <v>96000</v>
      </c>
    </row>
    <row r="9" spans="1:6">
      <c r="A9" s="2" t="s">
        <v>612</v>
      </c>
      <c r="B9" s="2" t="s">
        <v>613</v>
      </c>
      <c r="C9" s="2" t="s">
        <v>609</v>
      </c>
      <c r="D9" s="56">
        <v>550</v>
      </c>
      <c r="E9" s="56">
        <v>200</v>
      </c>
      <c r="F9" s="56">
        <f>D9*E9</f>
        <v>110000</v>
      </c>
    </row>
    <row r="10" spans="1:6">
      <c r="A10" t="s">
        <v>614</v>
      </c>
      <c r="B10" t="s">
        <v>615</v>
      </c>
      <c r="C10" t="s">
        <v>604</v>
      </c>
      <c r="D10" s="48">
        <v>180</v>
      </c>
      <c r="E10" s="48">
        <v>450</v>
      </c>
      <c r="F10" s="48">
        <f>D10*E10</f>
        <v>81000</v>
      </c>
    </row>
    <row r="11" spans="1:6">
      <c r="A11" s="2" t="s">
        <v>616</v>
      </c>
      <c r="B11" s="2" t="s">
        <v>617</v>
      </c>
      <c r="C11" s="2" t="s">
        <v>604</v>
      </c>
      <c r="D11" s="56">
        <v>350</v>
      </c>
      <c r="E11" s="56">
        <v>280</v>
      </c>
      <c r="F11" s="56">
        <f>D11*E11</f>
        <v>98000</v>
      </c>
    </row>
    <row r="12" spans="1:6">
      <c r="A12" t="s">
        <v>618</v>
      </c>
      <c r="B12" t="s">
        <v>619</v>
      </c>
      <c r="C12" t="s">
        <v>609</v>
      </c>
      <c r="D12" s="48">
        <v>1200</v>
      </c>
      <c r="E12" s="48">
        <v>100</v>
      </c>
      <c r="F12" s="48">
        <f>D12*E12</f>
        <v>120000</v>
      </c>
    </row>
    <row r="13" spans="1:6">
      <c r="A13" s="2" t="s">
        <v>620</v>
      </c>
      <c r="B13" s="2" t="s">
        <v>621</v>
      </c>
      <c r="C13" s="2" t="s">
        <v>604</v>
      </c>
      <c r="D13" s="56">
        <v>220</v>
      </c>
      <c r="E13" s="56">
        <v>600</v>
      </c>
      <c r="F13" s="56">
        <f>D13*E13</f>
        <v>132000</v>
      </c>
    </row>
    <row r="14" spans="1:6">
      <c r="A14" t="s">
        <v>622</v>
      </c>
      <c r="B14" t="s">
        <v>623</v>
      </c>
      <c r="C14" t="s">
        <v>609</v>
      </c>
      <c r="D14" s="48">
        <v>480</v>
      </c>
      <c r="E14" s="48">
        <v>180</v>
      </c>
      <c r="F14" s="48">
        <f>D14*E14</f>
        <v>86400</v>
      </c>
    </row>
    <row r="15" spans="1:6">
      <c r="A15" s="2" t="s">
        <v>624</v>
      </c>
      <c r="B15" s="2" t="s">
        <v>625</v>
      </c>
      <c r="C15" s="2" t="s">
        <v>626</v>
      </c>
      <c r="D15" s="56">
        <v>450</v>
      </c>
      <c r="E15" s="56">
        <v>1000</v>
      </c>
      <c r="F15" s="56">
        <f>D15*E15</f>
        <v>450000</v>
      </c>
    </row>
    <row r="16" spans="1:6">
      <c r="A16" t="s">
        <v>627</v>
      </c>
      <c r="B16" t="s">
        <v>628</v>
      </c>
      <c r="C16" t="s">
        <v>629</v>
      </c>
      <c r="D16" s="48">
        <v>1800</v>
      </c>
      <c r="E16" s="48">
        <v>80</v>
      </c>
      <c r="F16" s="48">
        <f>D16*E16</f>
        <v>144000</v>
      </c>
    </row>
    <row r="17" spans="1:6">
      <c r="A17" s="2" t="s">
        <v>630</v>
      </c>
      <c r="B17" s="2" t="s">
        <v>631</v>
      </c>
      <c r="C17" s="2" t="s">
        <v>604</v>
      </c>
      <c r="D17" s="56">
        <v>160</v>
      </c>
      <c r="E17" s="56">
        <v>350</v>
      </c>
      <c r="F17" s="56">
        <f>D17*E17</f>
        <v>56000</v>
      </c>
    </row>
    <row r="18" spans="1:6">
      <c r="A18" t="s">
        <v>632</v>
      </c>
      <c r="B18" t="s">
        <v>633</v>
      </c>
      <c r="C18" t="s">
        <v>609</v>
      </c>
      <c r="D18" s="48">
        <v>780</v>
      </c>
      <c r="E18" s="48">
        <v>120</v>
      </c>
      <c r="F18" s="48">
        <f>D18*E18</f>
        <v>93600</v>
      </c>
    </row>
    <row r="19" spans="1:6">
      <c r="A19" s="2" t="s">
        <v>634</v>
      </c>
      <c r="B19" s="2" t="s">
        <v>635</v>
      </c>
      <c r="C19" s="2" t="s">
        <v>604</v>
      </c>
      <c r="D19" s="56">
        <v>420</v>
      </c>
      <c r="E19" s="56">
        <v>250</v>
      </c>
      <c r="F19" s="56">
        <f>D19*E19</f>
        <v>105000</v>
      </c>
    </row>
    <row r="20" spans="1:6">
      <c r="A20" t="s">
        <v>636</v>
      </c>
      <c r="B20" t="s">
        <v>637</v>
      </c>
      <c r="C20" t="s">
        <v>626</v>
      </c>
      <c r="D20" s="48">
        <v>380</v>
      </c>
      <c r="E20" s="48">
        <v>500</v>
      </c>
      <c r="F20" s="48">
        <f>D20*E20</f>
        <v>190000</v>
      </c>
    </row>
    <row r="21" spans="1:6">
      <c r="A21" s="2" t="s">
        <v>638</v>
      </c>
      <c r="B21" s="2" t="s">
        <v>639</v>
      </c>
      <c r="C21" s="2" t="s">
        <v>609</v>
      </c>
      <c r="D21" s="56">
        <v>1500</v>
      </c>
      <c r="E21" s="56">
        <v>90</v>
      </c>
      <c r="F21" s="56">
        <f>D21*E21</f>
        <v>135000</v>
      </c>
    </row>
    <row r="22" spans="1:6">
      <c r="A22" t="s">
        <v>640</v>
      </c>
      <c r="B22" t="s">
        <v>641</v>
      </c>
      <c r="C22" t="s">
        <v>604</v>
      </c>
      <c r="D22" s="48">
        <v>80</v>
      </c>
      <c r="E22" s="48">
        <v>700</v>
      </c>
      <c r="F22" s="48">
        <f>D22*E22</f>
        <v>56000</v>
      </c>
    </row>
    <row r="23" spans="1:6">
      <c r="A23" s="2" t="s">
        <v>642</v>
      </c>
      <c r="B23" s="2" t="s">
        <v>643</v>
      </c>
      <c r="C23" s="2" t="s">
        <v>626</v>
      </c>
      <c r="D23" s="56">
        <v>650</v>
      </c>
      <c r="E23" s="56">
        <v>200</v>
      </c>
      <c r="F23" s="56">
        <f>D23*E23</f>
        <v>130000</v>
      </c>
    </row>
    <row r="24" spans="1:6">
      <c r="A24" t="s">
        <v>644</v>
      </c>
      <c r="B24" t="s">
        <v>645</v>
      </c>
      <c r="C24" t="s">
        <v>604</v>
      </c>
      <c r="D24" s="48">
        <v>320</v>
      </c>
      <c r="E24" s="48">
        <v>400</v>
      </c>
      <c r="F24" s="48">
        <f>D24*E24</f>
        <v>128000</v>
      </c>
    </row>
  </sheetData>
  <mergeCells count="2">
    <mergeCell ref="A1:F1"/>
    <mergeCell ref="A2:F2"/>
  </mergeCells>
  <phoneticPr fontId="3"/>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64883-CC89-6A44-A5E8-7878E29FCE8E}">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488</v>
      </c>
    </row>
    <row r="3" spans="1:2">
      <c r="A3" s="30" t="s">
        <v>1</v>
      </c>
      <c r="B3" s="42" t="s">
        <v>5</v>
      </c>
    </row>
    <row r="4" spans="1:2">
      <c r="A4" s="30" t="s">
        <v>2</v>
      </c>
      <c r="B4" s="42" t="s">
        <v>646</v>
      </c>
    </row>
    <row r="5" spans="1:2">
      <c r="A5" s="30" t="s">
        <v>253</v>
      </c>
      <c r="B5" s="42" t="s">
        <v>647</v>
      </c>
    </row>
    <row r="6" spans="1:2" ht="120" customHeight="1">
      <c r="A6" s="57" t="s">
        <v>288</v>
      </c>
      <c r="B6" s="58" t="s">
        <v>648</v>
      </c>
    </row>
    <row r="7" spans="1:2">
      <c r="A7" s="59" t="s">
        <v>590</v>
      </c>
      <c r="B7" s="60" t="s">
        <v>649</v>
      </c>
    </row>
    <row r="8" spans="1:2">
      <c r="A8" s="61" t="s">
        <v>592</v>
      </c>
      <c r="B8" s="62" t="s">
        <v>650</v>
      </c>
    </row>
  </sheetData>
  <phoneticPr fontId="3"/>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5178-C177-974D-973F-303600E258A6}">
  <dimension ref="A1:G12"/>
  <sheetViews>
    <sheetView workbookViewId="0">
      <selection sqref="A1:G1"/>
    </sheetView>
  </sheetViews>
  <sheetFormatPr baseColWidth="10" defaultRowHeight="20"/>
  <cols>
    <col min="1" max="1" width="14.28515625" customWidth="1"/>
    <col min="2" max="7" width="12.85546875" customWidth="1"/>
  </cols>
  <sheetData>
    <row r="1" spans="1:7" ht="24">
      <c r="A1" s="46" t="s">
        <v>651</v>
      </c>
      <c r="B1" s="45"/>
      <c r="C1" s="45"/>
      <c r="D1" s="45"/>
      <c r="E1" s="45"/>
      <c r="F1" s="45"/>
      <c r="G1" s="45"/>
    </row>
    <row r="2" spans="1:7" ht="80" customHeight="1">
      <c r="A2" s="47" t="s">
        <v>652</v>
      </c>
      <c r="B2" s="45"/>
      <c r="C2" s="45"/>
      <c r="D2" s="45"/>
      <c r="E2" s="45"/>
      <c r="F2" s="45"/>
      <c r="G2" s="45"/>
    </row>
    <row r="3" spans="1:7">
      <c r="A3" s="45"/>
      <c r="B3" s="45"/>
      <c r="C3" s="45"/>
      <c r="D3" s="45"/>
      <c r="E3" s="45"/>
      <c r="F3" s="45"/>
      <c r="G3" s="45"/>
    </row>
    <row r="4" spans="1:7">
      <c r="A4" s="33" t="s">
        <v>653</v>
      </c>
      <c r="B4" s="33" t="s">
        <v>654</v>
      </c>
      <c r="C4" s="33" t="s">
        <v>655</v>
      </c>
      <c r="D4" s="33" t="s">
        <v>656</v>
      </c>
      <c r="E4" s="33" t="s">
        <v>657</v>
      </c>
      <c r="F4" s="33" t="s">
        <v>658</v>
      </c>
    </row>
    <row r="5" spans="1:7">
      <c r="A5" t="s">
        <v>659</v>
      </c>
      <c r="B5" t="s">
        <v>660</v>
      </c>
      <c r="C5">
        <v>15800000</v>
      </c>
      <c r="D5">
        <v>1.1200000000000001</v>
      </c>
      <c r="E5">
        <v>3200000</v>
      </c>
      <c r="F5" s="63">
        <v>45658</v>
      </c>
    </row>
    <row r="6" spans="1:7">
      <c r="A6" t="s">
        <v>661</v>
      </c>
      <c r="B6" t="s">
        <v>662</v>
      </c>
      <c r="C6">
        <v>12500000</v>
      </c>
      <c r="D6">
        <v>0.98499999999999999</v>
      </c>
      <c r="E6">
        <v>2400000</v>
      </c>
      <c r="F6" s="63">
        <v>45658</v>
      </c>
    </row>
    <row r="7" spans="1:7">
      <c r="A7" t="s">
        <v>663</v>
      </c>
      <c r="B7" t="s">
        <v>664</v>
      </c>
      <c r="C7">
        <v>8900000</v>
      </c>
      <c r="D7">
        <v>1.05</v>
      </c>
      <c r="E7">
        <v>1800000</v>
      </c>
      <c r="F7" s="63">
        <v>45658</v>
      </c>
    </row>
    <row r="8" spans="1:7">
      <c r="A8" t="s">
        <v>665</v>
      </c>
      <c r="B8" t="s">
        <v>666</v>
      </c>
      <c r="C8">
        <v>6700000</v>
      </c>
      <c r="D8">
        <v>0.92</v>
      </c>
      <c r="E8">
        <v>1100000</v>
      </c>
      <c r="F8" s="63">
        <v>45658</v>
      </c>
    </row>
    <row r="9" spans="1:7">
      <c r="A9" t="s">
        <v>667</v>
      </c>
      <c r="B9" t="s">
        <v>668</v>
      </c>
      <c r="C9">
        <v>5200000</v>
      </c>
      <c r="D9">
        <v>1.08</v>
      </c>
      <c r="E9">
        <v>950000</v>
      </c>
      <c r="F9" s="63">
        <v>45658</v>
      </c>
    </row>
    <row r="10" spans="1:7">
      <c r="A10" t="s">
        <v>669</v>
      </c>
      <c r="B10" t="s">
        <v>670</v>
      </c>
      <c r="C10">
        <v>4800000</v>
      </c>
      <c r="D10">
        <v>1.1499999999999999</v>
      </c>
      <c r="E10">
        <v>880000</v>
      </c>
      <c r="F10" s="63">
        <v>45658</v>
      </c>
    </row>
    <row r="11" spans="1:7">
      <c r="A11" t="s">
        <v>671</v>
      </c>
      <c r="B11" t="s">
        <v>672</v>
      </c>
      <c r="C11">
        <v>7100000</v>
      </c>
      <c r="D11">
        <v>0.97499999999999998</v>
      </c>
      <c r="E11">
        <v>1350000</v>
      </c>
      <c r="F11" s="63">
        <v>45658</v>
      </c>
    </row>
    <row r="12" spans="1:7">
      <c r="A12" t="s">
        <v>673</v>
      </c>
      <c r="B12" t="s">
        <v>660</v>
      </c>
      <c r="C12">
        <v>9400000</v>
      </c>
      <c r="D12">
        <v>1.03</v>
      </c>
      <c r="E12">
        <v>1900000</v>
      </c>
      <c r="F12" s="63">
        <v>45658</v>
      </c>
    </row>
  </sheetData>
  <mergeCells count="2">
    <mergeCell ref="A1:G1"/>
    <mergeCell ref="A2:G3"/>
  </mergeCells>
  <phoneticPr fontId="3"/>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6B3E-8E13-594C-83C2-C36FEB469493}">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491</v>
      </c>
    </row>
    <row r="3" spans="1:2">
      <c r="A3" s="30" t="s">
        <v>1</v>
      </c>
      <c r="B3" s="42" t="s">
        <v>45</v>
      </c>
    </row>
    <row r="4" spans="1:2">
      <c r="A4" s="30" t="s">
        <v>2</v>
      </c>
      <c r="B4" s="42" t="s">
        <v>89</v>
      </c>
    </row>
    <row r="5" spans="1:2">
      <c r="A5" s="30" t="s">
        <v>253</v>
      </c>
      <c r="B5" s="42" t="s">
        <v>674</v>
      </c>
    </row>
    <row r="6" spans="1:2" ht="80" customHeight="1">
      <c r="A6" s="57" t="s">
        <v>288</v>
      </c>
      <c r="B6" s="58" t="s">
        <v>675</v>
      </c>
    </row>
    <row r="7" spans="1:2">
      <c r="A7" s="59" t="s">
        <v>590</v>
      </c>
      <c r="B7" s="60" t="s">
        <v>676</v>
      </c>
    </row>
    <row r="8" spans="1:2">
      <c r="A8" s="61" t="s">
        <v>677</v>
      </c>
      <c r="B8" s="62" t="s">
        <v>678</v>
      </c>
    </row>
  </sheetData>
  <phoneticPr fontId="3"/>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D61A7-2D8B-9C41-A337-104FA87AA7E6}">
  <dimension ref="A1:H4"/>
  <sheetViews>
    <sheetView workbookViewId="0">
      <selection sqref="A1:H1"/>
    </sheetView>
  </sheetViews>
  <sheetFormatPr baseColWidth="10" defaultRowHeight="20"/>
  <cols>
    <col min="1" max="8" width="12.85546875" customWidth="1"/>
  </cols>
  <sheetData>
    <row r="1" spans="1:8" ht="24">
      <c r="A1" s="46" t="s">
        <v>679</v>
      </c>
      <c r="B1" s="45"/>
      <c r="C1" s="45"/>
      <c r="D1" s="45"/>
      <c r="E1" s="45"/>
      <c r="F1" s="45"/>
      <c r="G1" s="45"/>
      <c r="H1" s="45"/>
    </row>
    <row r="2" spans="1:8" ht="80" customHeight="1">
      <c r="A2" s="47" t="s">
        <v>680</v>
      </c>
      <c r="B2" s="45"/>
      <c r="C2" s="45"/>
      <c r="D2" s="45"/>
      <c r="E2" s="45"/>
      <c r="F2" s="45"/>
      <c r="G2" s="45"/>
      <c r="H2" s="45"/>
    </row>
    <row r="3" spans="1:8">
      <c r="A3" s="45"/>
      <c r="B3" s="45"/>
      <c r="C3" s="45"/>
      <c r="D3" s="45"/>
      <c r="E3" s="45"/>
      <c r="F3" s="45"/>
      <c r="G3" s="45"/>
      <c r="H3" s="45"/>
    </row>
    <row r="4" spans="1:8">
      <c r="A4" s="33" t="s">
        <v>681</v>
      </c>
      <c r="C4" s="33" t="s">
        <v>682</v>
      </c>
      <c r="E4" s="33" t="s">
        <v>683</v>
      </c>
      <c r="G4" s="33" t="s">
        <v>684</v>
      </c>
    </row>
  </sheetData>
  <mergeCells count="2">
    <mergeCell ref="A1:H1"/>
    <mergeCell ref="A2:H3"/>
  </mergeCells>
  <phoneticPr fontId="3"/>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531D-04F1-0C41-B3C3-0F70A9460E17}">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494</v>
      </c>
    </row>
    <row r="3" spans="1:2">
      <c r="A3" s="30" t="s">
        <v>1</v>
      </c>
      <c r="B3" s="42" t="s">
        <v>45</v>
      </c>
    </row>
    <row r="4" spans="1:2">
      <c r="A4" s="30" t="s">
        <v>2</v>
      </c>
      <c r="B4" s="42" t="s">
        <v>50</v>
      </c>
    </row>
    <row r="5" spans="1:2">
      <c r="A5" s="30" t="s">
        <v>253</v>
      </c>
      <c r="B5" s="42" t="s">
        <v>685</v>
      </c>
    </row>
    <row r="6" spans="1:2" ht="127" customHeight="1">
      <c r="A6" s="57" t="s">
        <v>288</v>
      </c>
      <c r="B6" s="58" t="s">
        <v>686</v>
      </c>
    </row>
    <row r="7" spans="1:2" ht="57">
      <c r="A7" s="59" t="s">
        <v>590</v>
      </c>
      <c r="B7" s="64" t="s">
        <v>687</v>
      </c>
    </row>
    <row r="8" spans="1:2">
      <c r="A8" s="61" t="s">
        <v>688</v>
      </c>
      <c r="B8" s="62" t="s">
        <v>689</v>
      </c>
    </row>
  </sheetData>
  <phoneticPr fontId="3"/>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8AAF-7308-854A-BAFA-32DEF7E95E18}">
  <dimension ref="A1:G14"/>
  <sheetViews>
    <sheetView workbookViewId="0">
      <selection sqref="A1:G1"/>
    </sheetView>
  </sheetViews>
  <sheetFormatPr baseColWidth="10" defaultRowHeight="20"/>
  <cols>
    <col min="1" max="1" width="8.5703125" customWidth="1"/>
    <col min="2" max="2" width="14.28515625" customWidth="1"/>
    <col min="3" max="7" width="10" customWidth="1"/>
  </cols>
  <sheetData>
    <row r="1" spans="1:7" ht="24">
      <c r="A1" s="46" t="s">
        <v>690</v>
      </c>
      <c r="B1" s="45"/>
      <c r="C1" s="45"/>
      <c r="D1" s="45"/>
      <c r="E1" s="45"/>
      <c r="F1" s="45"/>
      <c r="G1" s="45"/>
    </row>
    <row r="2" spans="1:7" ht="70" customHeight="1">
      <c r="A2" s="47" t="s">
        <v>691</v>
      </c>
      <c r="B2" s="45"/>
      <c r="C2" s="45"/>
      <c r="D2" s="45"/>
      <c r="E2" s="45"/>
      <c r="F2" s="45"/>
      <c r="G2" s="45"/>
    </row>
    <row r="3" spans="1:7" ht="97" customHeight="1">
      <c r="A3" s="45"/>
      <c r="B3" s="45"/>
      <c r="C3" s="45"/>
      <c r="D3" s="45"/>
      <c r="E3" s="45"/>
      <c r="F3" s="45"/>
      <c r="G3" s="45"/>
    </row>
    <row r="4" spans="1:7">
      <c r="A4" s="33" t="s">
        <v>0</v>
      </c>
      <c r="B4" s="33" t="s">
        <v>548</v>
      </c>
      <c r="C4" s="33" t="s">
        <v>692</v>
      </c>
      <c r="D4" s="33" t="s">
        <v>693</v>
      </c>
      <c r="E4" s="33" t="s">
        <v>694</v>
      </c>
      <c r="F4" s="33" t="s">
        <v>695</v>
      </c>
      <c r="G4" s="33" t="s">
        <v>554</v>
      </c>
    </row>
    <row r="5" spans="1:7">
      <c r="A5">
        <v>1</v>
      </c>
      <c r="B5" t="s">
        <v>696</v>
      </c>
      <c r="C5">
        <v>85</v>
      </c>
      <c r="D5">
        <v>72</v>
      </c>
      <c r="E5">
        <v>90</v>
      </c>
      <c r="F5">
        <v>68</v>
      </c>
      <c r="G5">
        <f>SUM(C5:F5)</f>
        <v>315</v>
      </c>
    </row>
    <row r="6" spans="1:7">
      <c r="A6">
        <v>2</v>
      </c>
      <c r="B6" t="s">
        <v>697</v>
      </c>
      <c r="C6">
        <v>92</v>
      </c>
      <c r="D6">
        <v>88</v>
      </c>
      <c r="E6">
        <v>76</v>
      </c>
      <c r="F6">
        <v>95</v>
      </c>
      <c r="G6">
        <f>SUM(C6:F6)</f>
        <v>351</v>
      </c>
    </row>
    <row r="7" spans="1:7">
      <c r="A7">
        <v>3</v>
      </c>
      <c r="B7" t="s">
        <v>698</v>
      </c>
      <c r="C7">
        <v>65</v>
      </c>
      <c r="D7">
        <v>55</v>
      </c>
      <c r="E7">
        <v>70</v>
      </c>
      <c r="F7">
        <v>58</v>
      </c>
      <c r="G7">
        <f>SUM(C7:F7)</f>
        <v>248</v>
      </c>
    </row>
    <row r="8" spans="1:7">
      <c r="A8">
        <v>4</v>
      </c>
      <c r="B8" t="s">
        <v>699</v>
      </c>
      <c r="C8">
        <v>78</v>
      </c>
      <c r="D8">
        <v>82</v>
      </c>
      <c r="E8">
        <v>85</v>
      </c>
      <c r="F8">
        <v>77</v>
      </c>
      <c r="G8">
        <f>SUM(C8:F8)</f>
        <v>322</v>
      </c>
    </row>
    <row r="9" spans="1:7">
      <c r="A9">
        <v>5</v>
      </c>
      <c r="B9" t="s">
        <v>700</v>
      </c>
      <c r="C9">
        <v>88</v>
      </c>
      <c r="D9">
        <v>45</v>
      </c>
      <c r="E9">
        <v>92</v>
      </c>
      <c r="F9">
        <v>80</v>
      </c>
      <c r="G9">
        <f>SUM(C9:F9)</f>
        <v>305</v>
      </c>
    </row>
    <row r="10" spans="1:7">
      <c r="A10">
        <v>6</v>
      </c>
      <c r="B10" t="s">
        <v>701</v>
      </c>
      <c r="C10">
        <v>55</v>
      </c>
      <c r="D10">
        <v>68</v>
      </c>
      <c r="E10">
        <v>60</v>
      </c>
      <c r="F10">
        <v>72</v>
      </c>
      <c r="G10">
        <f>SUM(C10:F10)</f>
        <v>255</v>
      </c>
    </row>
    <row r="11" spans="1:7">
      <c r="A11">
        <v>7</v>
      </c>
      <c r="B11" t="s">
        <v>702</v>
      </c>
      <c r="C11">
        <v>95</v>
      </c>
      <c r="D11">
        <v>90</v>
      </c>
      <c r="E11">
        <v>88</v>
      </c>
      <c r="F11">
        <v>92</v>
      </c>
      <c r="G11">
        <f>SUM(C11:F11)</f>
        <v>365</v>
      </c>
    </row>
    <row r="12" spans="1:7">
      <c r="A12">
        <v>8</v>
      </c>
      <c r="B12" t="s">
        <v>703</v>
      </c>
      <c r="C12">
        <v>70</v>
      </c>
      <c r="D12">
        <v>58</v>
      </c>
      <c r="E12">
        <v>65</v>
      </c>
      <c r="F12">
        <v>55</v>
      </c>
      <c r="G12">
        <f>SUM(C12:F12)</f>
        <v>248</v>
      </c>
    </row>
    <row r="13" spans="1:7">
      <c r="A13">
        <v>9</v>
      </c>
      <c r="B13" t="s">
        <v>704</v>
      </c>
      <c r="C13">
        <v>82</v>
      </c>
      <c r="D13">
        <v>75</v>
      </c>
      <c r="E13">
        <v>80</v>
      </c>
      <c r="F13">
        <v>85</v>
      </c>
      <c r="G13">
        <f>SUM(C13:F13)</f>
        <v>322</v>
      </c>
    </row>
    <row r="14" spans="1:7">
      <c r="A14">
        <v>10</v>
      </c>
      <c r="B14" t="s">
        <v>705</v>
      </c>
      <c r="C14">
        <v>60</v>
      </c>
      <c r="D14">
        <v>42</v>
      </c>
      <c r="E14">
        <v>55</v>
      </c>
      <c r="F14">
        <v>48</v>
      </c>
      <c r="G14">
        <f>SUM(C14:F14)</f>
        <v>205</v>
      </c>
    </row>
  </sheetData>
  <mergeCells count="2">
    <mergeCell ref="A1:G1"/>
    <mergeCell ref="A2:G3"/>
  </mergeCells>
  <phoneticPr fontId="3"/>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5A412-49AE-7C4E-B3DD-F8E24EC7A231}">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497</v>
      </c>
    </row>
    <row r="3" spans="1:2">
      <c r="A3" s="30" t="s">
        <v>1</v>
      </c>
      <c r="B3" s="42" t="s">
        <v>45</v>
      </c>
    </row>
    <row r="4" spans="1:2">
      <c r="A4" s="30" t="s">
        <v>2</v>
      </c>
      <c r="B4" s="42" t="s">
        <v>101</v>
      </c>
    </row>
    <row r="5" spans="1:2">
      <c r="A5" s="30" t="s">
        <v>253</v>
      </c>
      <c r="B5" s="42" t="s">
        <v>706</v>
      </c>
    </row>
    <row r="6" spans="1:2" ht="161" customHeight="1">
      <c r="A6" s="57" t="s">
        <v>288</v>
      </c>
      <c r="B6" s="58" t="s">
        <v>707</v>
      </c>
    </row>
    <row r="7" spans="1:2">
      <c r="A7" s="59" t="s">
        <v>590</v>
      </c>
      <c r="B7" s="60" t="s">
        <v>708</v>
      </c>
    </row>
    <row r="8" spans="1:2">
      <c r="A8" s="61" t="s">
        <v>592</v>
      </c>
      <c r="B8" s="62" t="s">
        <v>709</v>
      </c>
    </row>
  </sheetData>
  <phoneticPr fontId="3"/>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4C3A-619B-F948-A83F-DC78489073E3}">
  <dimension ref="A1:D14"/>
  <sheetViews>
    <sheetView workbookViewId="0">
      <selection sqref="A1:D1"/>
    </sheetView>
  </sheetViews>
  <sheetFormatPr baseColWidth="10" defaultRowHeight="20"/>
  <cols>
    <col min="1" max="1" width="14.28515625" customWidth="1"/>
    <col min="2" max="4" width="12.85546875" customWidth="1"/>
  </cols>
  <sheetData>
    <row r="1" spans="1:4" ht="24">
      <c r="A1" s="46" t="s">
        <v>710</v>
      </c>
      <c r="B1" s="45"/>
      <c r="C1" s="45"/>
      <c r="D1" s="45"/>
    </row>
    <row r="2" spans="1:4" ht="80" customHeight="1">
      <c r="A2" s="47" t="s">
        <v>711</v>
      </c>
      <c r="B2" s="45"/>
      <c r="C2" s="45"/>
      <c r="D2" s="45"/>
    </row>
    <row r="3" spans="1:4">
      <c r="A3" s="45"/>
      <c r="B3" s="45"/>
      <c r="C3" s="45"/>
      <c r="D3" s="45"/>
    </row>
    <row r="4" spans="1:4">
      <c r="A4" s="33" t="s">
        <v>712</v>
      </c>
      <c r="B4" s="33" t="s">
        <v>655</v>
      </c>
      <c r="D4" s="33" t="s">
        <v>723</v>
      </c>
    </row>
    <row r="5" spans="1:4">
      <c r="A5" t="s">
        <v>713</v>
      </c>
      <c r="B5" s="48">
        <v>1250000</v>
      </c>
      <c r="C5" s="26" t="s">
        <v>554</v>
      </c>
    </row>
    <row r="6" spans="1:4">
      <c r="A6" t="s">
        <v>714</v>
      </c>
      <c r="B6" s="48">
        <v>1180000</v>
      </c>
      <c r="C6" s="26" t="s">
        <v>724</v>
      </c>
    </row>
    <row r="7" spans="1:4">
      <c r="A7" t="s">
        <v>715</v>
      </c>
      <c r="B7" s="48">
        <v>1420000</v>
      </c>
      <c r="C7" s="26" t="s">
        <v>725</v>
      </c>
    </row>
    <row r="8" spans="1:4">
      <c r="A8" t="s">
        <v>716</v>
      </c>
      <c r="B8" s="48">
        <v>1350000</v>
      </c>
    </row>
    <row r="9" spans="1:4">
      <c r="A9" t="s">
        <v>717</v>
      </c>
      <c r="B9" s="48">
        <v>1580000</v>
      </c>
    </row>
    <row r="10" spans="1:4">
      <c r="A10" t="s">
        <v>718</v>
      </c>
      <c r="B10" s="48">
        <v>1290000</v>
      </c>
    </row>
    <row r="11" spans="1:4">
      <c r="A11" t="s">
        <v>719</v>
      </c>
      <c r="B11" s="48">
        <v>1470000</v>
      </c>
    </row>
    <row r="12" spans="1:4">
      <c r="A12" t="s">
        <v>720</v>
      </c>
      <c r="B12" s="48">
        <v>1100000</v>
      </c>
    </row>
    <row r="13" spans="1:4">
      <c r="A13" t="s">
        <v>721</v>
      </c>
      <c r="B13" s="48">
        <v>1520000</v>
      </c>
    </row>
    <row r="14" spans="1:4">
      <c r="A14" t="s">
        <v>722</v>
      </c>
      <c r="B14" s="48">
        <v>1630000</v>
      </c>
    </row>
  </sheetData>
  <mergeCells count="2">
    <mergeCell ref="A1:D1"/>
    <mergeCell ref="A2:D3"/>
  </mergeCells>
  <phoneticPr fontId="3"/>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C142-67EF-DE43-8A42-9C6ACC6A3125}">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501</v>
      </c>
    </row>
    <row r="3" spans="1:2">
      <c r="A3" s="26" t="s">
        <v>1</v>
      </c>
      <c r="B3" t="s">
        <v>45</v>
      </c>
    </row>
    <row r="4" spans="1:2">
      <c r="A4" s="26" t="s">
        <v>2</v>
      </c>
      <c r="B4" t="s">
        <v>98</v>
      </c>
    </row>
    <row r="5" spans="1:2">
      <c r="A5" s="26" t="s">
        <v>253</v>
      </c>
      <c r="B5" t="s">
        <v>726</v>
      </c>
    </row>
    <row r="6" spans="1:2" ht="60" customHeight="1">
      <c r="A6" s="65" t="s">
        <v>288</v>
      </c>
      <c r="B6" s="66" t="s">
        <v>727</v>
      </c>
    </row>
    <row r="7" spans="1:2">
      <c r="A7" s="67" t="s">
        <v>590</v>
      </c>
      <c r="B7" s="3" t="s">
        <v>728</v>
      </c>
    </row>
    <row r="8" spans="1:2">
      <c r="A8" s="68" t="s">
        <v>688</v>
      </c>
      <c r="B8" s="69" t="s">
        <v>729</v>
      </c>
    </row>
  </sheetData>
  <phoneticPr fontId="3"/>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D2FEF-8446-2F4A-91B6-78C73780CAF3}">
  <dimension ref="A1:H15"/>
  <sheetViews>
    <sheetView workbookViewId="0">
      <selection sqref="A1:H1"/>
    </sheetView>
  </sheetViews>
  <sheetFormatPr baseColWidth="10" defaultRowHeight="20"/>
  <cols>
    <col min="1" max="8" width="11.42578125" customWidth="1"/>
  </cols>
  <sheetData>
    <row r="1" spans="1:8" ht="24">
      <c r="A1" s="46" t="s">
        <v>730</v>
      </c>
      <c r="B1" s="45"/>
      <c r="C1" s="45"/>
      <c r="D1" s="45"/>
      <c r="E1" s="45"/>
      <c r="F1" s="45"/>
      <c r="G1" s="45"/>
      <c r="H1" s="45"/>
    </row>
    <row r="2" spans="1:8" ht="60" customHeight="1">
      <c r="A2" s="47" t="s">
        <v>731</v>
      </c>
      <c r="B2" s="45"/>
      <c r="C2" s="45"/>
      <c r="D2" s="45"/>
      <c r="E2" s="45"/>
      <c r="F2" s="45"/>
      <c r="G2" s="45"/>
      <c r="H2" s="45"/>
    </row>
    <row r="3" spans="1:8">
      <c r="A3" s="45"/>
      <c r="B3" s="45"/>
      <c r="C3" s="45"/>
      <c r="D3" s="45"/>
      <c r="E3" s="45"/>
      <c r="F3" s="45"/>
      <c r="G3" s="45"/>
      <c r="H3" s="45"/>
    </row>
    <row r="4" spans="1:8">
      <c r="A4" s="33" t="s">
        <v>732</v>
      </c>
      <c r="B4" s="33" t="s">
        <v>599</v>
      </c>
      <c r="C4" s="33" t="s">
        <v>733</v>
      </c>
      <c r="D4" s="33" t="s">
        <v>734</v>
      </c>
      <c r="F4" s="72" t="s">
        <v>742</v>
      </c>
    </row>
    <row r="5" spans="1:8">
      <c r="A5" t="s">
        <v>735</v>
      </c>
      <c r="B5" s="48">
        <v>150</v>
      </c>
      <c r="C5" s="48">
        <v>20</v>
      </c>
      <c r="D5" s="48">
        <f>B5*C5</f>
        <v>3000</v>
      </c>
    </row>
    <row r="6" spans="1:8">
      <c r="A6" t="s">
        <v>736</v>
      </c>
      <c r="B6" s="48">
        <v>280</v>
      </c>
      <c r="C6" s="48">
        <v>15</v>
      </c>
      <c r="D6" s="48">
        <f>B6*C6</f>
        <v>4200</v>
      </c>
    </row>
    <row r="7" spans="1:8">
      <c r="A7" t="s">
        <v>641</v>
      </c>
      <c r="B7" s="48">
        <v>80</v>
      </c>
      <c r="C7" s="48">
        <v>30</v>
      </c>
      <c r="D7" s="48">
        <f>B7*C7</f>
        <v>2400</v>
      </c>
    </row>
    <row r="8" spans="1:8">
      <c r="A8" t="s">
        <v>737</v>
      </c>
      <c r="B8" s="48">
        <v>200</v>
      </c>
      <c r="C8" s="48">
        <v>10</v>
      </c>
      <c r="D8" s="48">
        <f>B8*C8</f>
        <v>2000</v>
      </c>
    </row>
    <row r="10" spans="1:8">
      <c r="A10" s="70" t="s">
        <v>738</v>
      </c>
    </row>
    <row r="11" spans="1:8">
      <c r="A11" s="71" t="s">
        <v>739</v>
      </c>
      <c r="B11" s="71" t="s">
        <v>692</v>
      </c>
      <c r="C11" s="71" t="s">
        <v>693</v>
      </c>
      <c r="D11" s="71" t="s">
        <v>694</v>
      </c>
    </row>
    <row r="12" spans="1:8">
      <c r="A12" t="s">
        <v>740</v>
      </c>
      <c r="B12">
        <v>85</v>
      </c>
      <c r="C12">
        <v>72</v>
      </c>
      <c r="D12">
        <v>90</v>
      </c>
    </row>
    <row r="13" spans="1:8">
      <c r="A13" t="s">
        <v>741</v>
      </c>
      <c r="B13">
        <v>78</v>
      </c>
      <c r="C13">
        <v>88</v>
      </c>
      <c r="D13">
        <v>65</v>
      </c>
    </row>
    <row r="15" spans="1:8">
      <c r="A15" s="73" t="s">
        <v>743</v>
      </c>
    </row>
  </sheetData>
  <mergeCells count="2">
    <mergeCell ref="A1:H1"/>
    <mergeCell ref="A2:H3"/>
  </mergeCells>
  <phoneticPr fontId="3"/>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5EFD-5BD1-3247-BE92-CA46BA400AC1}">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504</v>
      </c>
    </row>
    <row r="3" spans="1:2">
      <c r="A3" s="26" t="s">
        <v>1</v>
      </c>
      <c r="B3" t="s">
        <v>45</v>
      </c>
    </row>
    <row r="4" spans="1:2">
      <c r="A4" s="26" t="s">
        <v>2</v>
      </c>
      <c r="B4" t="s">
        <v>46</v>
      </c>
    </row>
    <row r="5" spans="1:2">
      <c r="A5" s="26" t="s">
        <v>253</v>
      </c>
      <c r="B5" t="s">
        <v>744</v>
      </c>
    </row>
    <row r="6" spans="1:2" ht="100" customHeight="1">
      <c r="A6" s="65" t="s">
        <v>288</v>
      </c>
      <c r="B6" s="66" t="s">
        <v>745</v>
      </c>
    </row>
    <row r="7" spans="1:2" ht="63">
      <c r="A7" s="67" t="s">
        <v>590</v>
      </c>
      <c r="B7" s="74" t="s">
        <v>746</v>
      </c>
    </row>
    <row r="8" spans="1:2">
      <c r="A8" s="68" t="s">
        <v>592</v>
      </c>
      <c r="B8" s="69" t="s">
        <v>747</v>
      </c>
    </row>
  </sheetData>
  <phoneticPr fontId="3"/>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49D4-A356-2249-9D5B-42798AE1AC5B}">
  <dimension ref="A1:F19"/>
  <sheetViews>
    <sheetView workbookViewId="0">
      <selection sqref="A1:F1"/>
    </sheetView>
  </sheetViews>
  <sheetFormatPr baseColWidth="10" defaultRowHeight="20"/>
  <cols>
    <col min="1" max="6" width="12.85546875" customWidth="1"/>
  </cols>
  <sheetData>
    <row r="1" spans="1:6" ht="24">
      <c r="A1" s="46" t="s">
        <v>748</v>
      </c>
      <c r="B1" s="45"/>
      <c r="C1" s="45"/>
      <c r="D1" s="45"/>
      <c r="E1" s="45"/>
      <c r="F1" s="45"/>
    </row>
    <row r="2" spans="1:6" ht="70" customHeight="1">
      <c r="A2" s="47" t="s">
        <v>749</v>
      </c>
      <c r="B2" s="45"/>
      <c r="C2" s="45"/>
      <c r="D2" s="45"/>
      <c r="E2" s="45"/>
      <c r="F2" s="45"/>
    </row>
    <row r="3" spans="1:6">
      <c r="A3" s="45"/>
      <c r="B3" s="45"/>
      <c r="C3" s="45"/>
      <c r="D3" s="45"/>
      <c r="E3" s="45"/>
      <c r="F3" s="45"/>
    </row>
    <row r="4" spans="1:6">
      <c r="A4" s="26" t="s">
        <v>750</v>
      </c>
      <c r="B4" s="26" t="s">
        <v>751</v>
      </c>
      <c r="C4" s="26" t="s">
        <v>597</v>
      </c>
      <c r="D4" s="26" t="s">
        <v>733</v>
      </c>
      <c r="E4" s="26" t="s">
        <v>655</v>
      </c>
    </row>
    <row r="5" spans="1:6">
      <c r="A5" t="s">
        <v>752</v>
      </c>
      <c r="B5" t="s">
        <v>753</v>
      </c>
      <c r="C5" t="s">
        <v>754</v>
      </c>
      <c r="D5" s="48">
        <v>50</v>
      </c>
      <c r="E5" s="48">
        <v>7500</v>
      </c>
    </row>
    <row r="6" spans="1:6">
      <c r="A6" t="s">
        <v>755</v>
      </c>
      <c r="B6" t="s">
        <v>756</v>
      </c>
      <c r="C6" t="s">
        <v>606</v>
      </c>
      <c r="D6" s="48">
        <v>30</v>
      </c>
      <c r="E6" s="48">
        <v>8400</v>
      </c>
    </row>
    <row r="7" spans="1:6">
      <c r="A7" t="s">
        <v>757</v>
      </c>
      <c r="B7" t="s">
        <v>758</v>
      </c>
      <c r="C7" t="s">
        <v>759</v>
      </c>
      <c r="D7" s="48">
        <v>10</v>
      </c>
      <c r="E7" s="48">
        <v>9800</v>
      </c>
    </row>
    <row r="8" spans="1:6">
      <c r="A8" t="s">
        <v>760</v>
      </c>
      <c r="B8" t="s">
        <v>761</v>
      </c>
      <c r="C8" t="s">
        <v>611</v>
      </c>
      <c r="D8" s="48">
        <v>100</v>
      </c>
      <c r="E8" s="48">
        <v>12000</v>
      </c>
    </row>
    <row r="9" spans="1:6">
      <c r="A9" t="s">
        <v>762</v>
      </c>
      <c r="B9" t="s">
        <v>763</v>
      </c>
      <c r="C9" t="s">
        <v>619</v>
      </c>
      <c r="D9" s="48">
        <v>5</v>
      </c>
      <c r="E9" s="48">
        <v>6000</v>
      </c>
    </row>
    <row r="10" spans="1:6">
      <c r="A10" t="s">
        <v>764</v>
      </c>
      <c r="B10" t="s">
        <v>753</v>
      </c>
      <c r="C10" t="s">
        <v>635</v>
      </c>
      <c r="D10" s="48">
        <v>20</v>
      </c>
      <c r="E10" s="48">
        <v>8400</v>
      </c>
    </row>
    <row r="11" spans="1:6">
      <c r="A11" t="s">
        <v>765</v>
      </c>
      <c r="B11" t="s">
        <v>766</v>
      </c>
      <c r="C11" t="s">
        <v>617</v>
      </c>
      <c r="D11" s="48">
        <v>15</v>
      </c>
      <c r="E11" s="48">
        <v>5250</v>
      </c>
    </row>
    <row r="12" spans="1:6">
      <c r="A12" t="s">
        <v>767</v>
      </c>
      <c r="B12" t="s">
        <v>758</v>
      </c>
      <c r="C12" t="s">
        <v>768</v>
      </c>
      <c r="D12" s="48">
        <v>25</v>
      </c>
      <c r="E12" s="48">
        <v>12000</v>
      </c>
    </row>
    <row r="13" spans="1:6">
      <c r="A13" t="s">
        <v>769</v>
      </c>
      <c r="B13" t="s">
        <v>756</v>
      </c>
      <c r="C13" t="s">
        <v>621</v>
      </c>
      <c r="D13" s="48">
        <v>40</v>
      </c>
      <c r="E13" s="48">
        <v>8800</v>
      </c>
    </row>
    <row r="14" spans="1:6">
      <c r="A14" t="s">
        <v>770</v>
      </c>
      <c r="B14" t="s">
        <v>761</v>
      </c>
      <c r="C14" t="s">
        <v>637</v>
      </c>
      <c r="D14" s="48">
        <v>200</v>
      </c>
      <c r="E14" s="48">
        <v>76000</v>
      </c>
    </row>
    <row r="15" spans="1:6">
      <c r="A15" t="s">
        <v>771</v>
      </c>
      <c r="B15" t="s">
        <v>763</v>
      </c>
      <c r="C15" t="s">
        <v>754</v>
      </c>
      <c r="D15" s="48">
        <v>100</v>
      </c>
      <c r="E15" s="48">
        <v>15000</v>
      </c>
    </row>
    <row r="16" spans="1:6">
      <c r="A16" t="s">
        <v>772</v>
      </c>
      <c r="B16" t="s">
        <v>753</v>
      </c>
      <c r="C16" t="s">
        <v>606</v>
      </c>
      <c r="D16" s="48">
        <v>60</v>
      </c>
      <c r="E16" s="48">
        <v>16800</v>
      </c>
    </row>
    <row r="17" spans="1:5">
      <c r="A17" t="s">
        <v>773</v>
      </c>
      <c r="B17" t="s">
        <v>766</v>
      </c>
      <c r="C17" t="s">
        <v>759</v>
      </c>
      <c r="D17" s="48">
        <v>8</v>
      </c>
      <c r="E17" s="48">
        <v>7840</v>
      </c>
    </row>
    <row r="18" spans="1:5">
      <c r="A18" t="s">
        <v>774</v>
      </c>
      <c r="B18" t="s">
        <v>758</v>
      </c>
      <c r="C18" t="s">
        <v>619</v>
      </c>
      <c r="D18" s="48">
        <v>3</v>
      </c>
      <c r="E18" s="48">
        <v>3600</v>
      </c>
    </row>
    <row r="19" spans="1:5">
      <c r="A19" t="s">
        <v>775</v>
      </c>
      <c r="B19" t="s">
        <v>756</v>
      </c>
      <c r="C19" t="s">
        <v>635</v>
      </c>
      <c r="D19" s="48">
        <v>25</v>
      </c>
      <c r="E19" s="48">
        <v>10500</v>
      </c>
    </row>
  </sheetData>
  <mergeCells count="2">
    <mergeCell ref="A1:F1"/>
    <mergeCell ref="A2:F3"/>
  </mergeCells>
  <phoneticPr fontId="3"/>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AD55D-701D-034E-A44B-20DDB1D74805}">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506</v>
      </c>
    </row>
    <row r="3" spans="1:2">
      <c r="A3" s="26" t="s">
        <v>1</v>
      </c>
      <c r="B3" t="s">
        <v>110</v>
      </c>
    </row>
    <row r="4" spans="1:2">
      <c r="A4" s="26" t="s">
        <v>2</v>
      </c>
      <c r="B4" t="s">
        <v>776</v>
      </c>
    </row>
    <row r="5" spans="1:2">
      <c r="A5" s="26" t="s">
        <v>253</v>
      </c>
      <c r="B5" t="s">
        <v>777</v>
      </c>
    </row>
    <row r="6" spans="1:2" ht="80" customHeight="1">
      <c r="A6" s="65" t="s">
        <v>288</v>
      </c>
      <c r="B6" s="66" t="s">
        <v>778</v>
      </c>
    </row>
    <row r="7" spans="1:2">
      <c r="A7" s="67" t="s">
        <v>590</v>
      </c>
      <c r="B7" s="3" t="s">
        <v>779</v>
      </c>
    </row>
    <row r="8" spans="1:2">
      <c r="A8" s="68" t="s">
        <v>592</v>
      </c>
      <c r="B8" s="69" t="s">
        <v>780</v>
      </c>
    </row>
  </sheetData>
  <phoneticPr fontId="3"/>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0BD3-D1DF-8E4A-B7A7-2F1F05AFDE14}">
  <dimension ref="A1:F19"/>
  <sheetViews>
    <sheetView workbookViewId="0">
      <selection sqref="A1:F1"/>
    </sheetView>
  </sheetViews>
  <sheetFormatPr baseColWidth="10" defaultRowHeight="20"/>
  <cols>
    <col min="1" max="6" width="12.85546875" customWidth="1"/>
  </cols>
  <sheetData>
    <row r="1" spans="1:6" ht="24">
      <c r="A1" s="46" t="s">
        <v>781</v>
      </c>
      <c r="B1" s="45"/>
      <c r="C1" s="45"/>
      <c r="D1" s="45"/>
      <c r="E1" s="45"/>
      <c r="F1" s="45"/>
    </row>
    <row r="2" spans="1:6" ht="70" customHeight="1">
      <c r="A2" s="47" t="s">
        <v>782</v>
      </c>
      <c r="B2" s="45"/>
      <c r="C2" s="45"/>
      <c r="D2" s="45"/>
      <c r="E2" s="45"/>
      <c r="F2" s="45"/>
    </row>
    <row r="3" spans="1:6">
      <c r="A3" s="45"/>
      <c r="B3" s="45"/>
      <c r="C3" s="45"/>
      <c r="D3" s="45"/>
      <c r="E3" s="45"/>
      <c r="F3" s="45"/>
    </row>
    <row r="4" spans="1:6">
      <c r="A4" s="26" t="s">
        <v>783</v>
      </c>
      <c r="B4" s="26" t="s">
        <v>653</v>
      </c>
      <c r="C4" s="26" t="s">
        <v>654</v>
      </c>
      <c r="D4" s="26" t="s">
        <v>784</v>
      </c>
      <c r="E4" s="26" t="s">
        <v>655</v>
      </c>
      <c r="F4" s="26" t="s">
        <v>785</v>
      </c>
    </row>
    <row r="5" spans="1:6">
      <c r="A5" t="s">
        <v>786</v>
      </c>
      <c r="B5" t="s">
        <v>659</v>
      </c>
      <c r="C5" t="s">
        <v>660</v>
      </c>
      <c r="D5" t="s">
        <v>740</v>
      </c>
      <c r="E5" s="48">
        <v>15800000</v>
      </c>
      <c r="F5" s="75">
        <v>1.1200000000000001</v>
      </c>
    </row>
    <row r="6" spans="1:6">
      <c r="A6" t="s">
        <v>787</v>
      </c>
      <c r="B6" t="s">
        <v>673</v>
      </c>
      <c r="C6" t="s">
        <v>660</v>
      </c>
      <c r="D6" t="s">
        <v>741</v>
      </c>
      <c r="E6" s="48">
        <v>9400000</v>
      </c>
      <c r="F6" s="75">
        <v>1.03</v>
      </c>
    </row>
    <row r="7" spans="1:6">
      <c r="A7" t="s">
        <v>788</v>
      </c>
      <c r="B7" t="s">
        <v>661</v>
      </c>
      <c r="C7" t="s">
        <v>662</v>
      </c>
      <c r="D7" t="s">
        <v>789</v>
      </c>
      <c r="E7" s="48">
        <v>12500000</v>
      </c>
      <c r="F7" s="75">
        <v>0.98499999999999999</v>
      </c>
    </row>
    <row r="8" spans="1:6">
      <c r="A8" t="s">
        <v>790</v>
      </c>
      <c r="B8" t="s">
        <v>663</v>
      </c>
      <c r="C8" t="s">
        <v>664</v>
      </c>
      <c r="D8" t="s">
        <v>791</v>
      </c>
      <c r="E8" s="48">
        <v>8900000</v>
      </c>
      <c r="F8" s="75">
        <v>1.05</v>
      </c>
    </row>
    <row r="9" spans="1:6">
      <c r="A9" t="s">
        <v>792</v>
      </c>
      <c r="B9" t="s">
        <v>665</v>
      </c>
      <c r="C9" t="s">
        <v>666</v>
      </c>
      <c r="D9" t="s">
        <v>793</v>
      </c>
      <c r="E9" s="48">
        <v>6700000</v>
      </c>
      <c r="F9" s="75">
        <v>0.92</v>
      </c>
    </row>
    <row r="10" spans="1:6">
      <c r="A10" t="s">
        <v>794</v>
      </c>
      <c r="B10" t="s">
        <v>667</v>
      </c>
      <c r="C10" t="s">
        <v>668</v>
      </c>
      <c r="D10" t="s">
        <v>795</v>
      </c>
      <c r="E10" s="48">
        <v>5200000</v>
      </c>
      <c r="F10" s="75">
        <v>1.08</v>
      </c>
    </row>
    <row r="11" spans="1:6">
      <c r="A11" t="s">
        <v>796</v>
      </c>
      <c r="B11" t="s">
        <v>669</v>
      </c>
      <c r="C11" t="s">
        <v>670</v>
      </c>
      <c r="D11" t="s">
        <v>797</v>
      </c>
      <c r="E11" s="48">
        <v>4800000</v>
      </c>
      <c r="F11" s="75">
        <v>1.1499999999999999</v>
      </c>
    </row>
    <row r="12" spans="1:6">
      <c r="A12" t="s">
        <v>798</v>
      </c>
      <c r="B12" t="s">
        <v>671</v>
      </c>
      <c r="C12" t="s">
        <v>672</v>
      </c>
      <c r="D12" t="s">
        <v>799</v>
      </c>
      <c r="E12" s="48">
        <v>7100000</v>
      </c>
      <c r="F12" s="75">
        <v>0.97499999999999998</v>
      </c>
    </row>
    <row r="13" spans="1:6">
      <c r="A13" t="s">
        <v>800</v>
      </c>
      <c r="B13" t="s">
        <v>801</v>
      </c>
      <c r="C13" t="s">
        <v>660</v>
      </c>
      <c r="D13" t="s">
        <v>802</v>
      </c>
      <c r="E13" s="48">
        <v>7800000</v>
      </c>
      <c r="F13" s="75">
        <v>0.98</v>
      </c>
    </row>
    <row r="14" spans="1:6">
      <c r="A14" t="s">
        <v>803</v>
      </c>
      <c r="B14" t="s">
        <v>804</v>
      </c>
      <c r="C14" t="s">
        <v>660</v>
      </c>
      <c r="D14" t="s">
        <v>805</v>
      </c>
      <c r="E14" s="48">
        <v>6500000</v>
      </c>
      <c r="F14" s="75">
        <v>1.02</v>
      </c>
    </row>
    <row r="15" spans="1:6">
      <c r="A15" t="s">
        <v>806</v>
      </c>
      <c r="B15" t="s">
        <v>807</v>
      </c>
      <c r="C15" t="s">
        <v>662</v>
      </c>
      <c r="D15" t="s">
        <v>808</v>
      </c>
      <c r="E15" s="48">
        <v>5600000</v>
      </c>
      <c r="F15" s="75">
        <v>0.95</v>
      </c>
    </row>
    <row r="16" spans="1:6">
      <c r="A16" t="s">
        <v>809</v>
      </c>
      <c r="B16" t="s">
        <v>810</v>
      </c>
      <c r="C16" t="s">
        <v>662</v>
      </c>
      <c r="D16" t="s">
        <v>811</v>
      </c>
      <c r="E16" s="48">
        <v>8200000</v>
      </c>
      <c r="F16" s="75">
        <v>1.07</v>
      </c>
    </row>
    <row r="17" spans="1:6">
      <c r="A17" t="s">
        <v>812</v>
      </c>
      <c r="B17" t="s">
        <v>813</v>
      </c>
      <c r="C17" t="s">
        <v>664</v>
      </c>
      <c r="D17" t="s">
        <v>814</v>
      </c>
      <c r="E17" s="48">
        <v>4200000</v>
      </c>
      <c r="F17" s="75">
        <v>0.88</v>
      </c>
    </row>
    <row r="18" spans="1:6">
      <c r="A18" t="s">
        <v>815</v>
      </c>
      <c r="B18" t="s">
        <v>816</v>
      </c>
      <c r="C18" t="s">
        <v>666</v>
      </c>
      <c r="D18" t="s">
        <v>817</v>
      </c>
      <c r="E18" s="48">
        <v>3800000</v>
      </c>
      <c r="F18" s="75">
        <v>0.91</v>
      </c>
    </row>
    <row r="19" spans="1:6">
      <c r="A19" t="s">
        <v>818</v>
      </c>
      <c r="B19" t="s">
        <v>819</v>
      </c>
      <c r="C19" t="s">
        <v>664</v>
      </c>
      <c r="D19" t="s">
        <v>820</v>
      </c>
      <c r="E19" s="48">
        <v>5500000</v>
      </c>
      <c r="F19" s="75">
        <v>1.01</v>
      </c>
    </row>
  </sheetData>
  <mergeCells count="2">
    <mergeCell ref="A1:F1"/>
    <mergeCell ref="A2:F3"/>
  </mergeCells>
  <phoneticPr fontId="3"/>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48B45-1E09-224C-B7BE-C7214735FD0D}">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509</v>
      </c>
    </row>
    <row r="3" spans="1:2">
      <c r="A3" s="26" t="s">
        <v>1</v>
      </c>
      <c r="B3" t="s">
        <v>110</v>
      </c>
    </row>
    <row r="4" spans="1:2">
      <c r="A4" s="26" t="s">
        <v>2</v>
      </c>
      <c r="B4" t="s">
        <v>510</v>
      </c>
    </row>
    <row r="5" spans="1:2">
      <c r="A5" s="26" t="s">
        <v>253</v>
      </c>
      <c r="B5" t="s">
        <v>821</v>
      </c>
    </row>
    <row r="6" spans="1:2" ht="80" customHeight="1">
      <c r="A6" s="65" t="s">
        <v>288</v>
      </c>
      <c r="B6" s="66" t="s">
        <v>822</v>
      </c>
    </row>
    <row r="7" spans="1:2">
      <c r="A7" s="67" t="s">
        <v>590</v>
      </c>
      <c r="B7" s="3" t="s">
        <v>823</v>
      </c>
    </row>
    <row r="8" spans="1:2">
      <c r="A8" s="68" t="s">
        <v>592</v>
      </c>
      <c r="B8" s="69" t="s">
        <v>824</v>
      </c>
    </row>
  </sheetData>
  <phoneticPr fontId="3"/>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ED210-9FEB-DC45-A105-73B52C5484FF}">
  <dimension ref="A1:F14"/>
  <sheetViews>
    <sheetView workbookViewId="0">
      <selection sqref="A1:F1"/>
    </sheetView>
  </sheetViews>
  <sheetFormatPr baseColWidth="10" defaultRowHeight="20"/>
  <cols>
    <col min="1" max="6" width="12.85546875" customWidth="1"/>
  </cols>
  <sheetData>
    <row r="1" spans="1:6" ht="24">
      <c r="A1" s="46" t="s">
        <v>825</v>
      </c>
      <c r="B1" s="45"/>
      <c r="C1" s="45"/>
      <c r="D1" s="45"/>
      <c r="E1" s="45"/>
      <c r="F1" s="45"/>
    </row>
    <row r="2" spans="1:6" ht="70" customHeight="1">
      <c r="A2" s="47" t="s">
        <v>826</v>
      </c>
      <c r="B2" s="45"/>
      <c r="C2" s="45"/>
      <c r="D2" s="45"/>
      <c r="E2" s="45"/>
      <c r="F2" s="45"/>
    </row>
    <row r="3" spans="1:6">
      <c r="A3" s="45"/>
      <c r="B3" s="45"/>
      <c r="C3" s="45"/>
      <c r="D3" s="45"/>
      <c r="E3" s="45"/>
      <c r="F3" s="45"/>
    </row>
    <row r="4" spans="1:6">
      <c r="A4" s="26" t="s">
        <v>596</v>
      </c>
      <c r="B4" s="26" t="s">
        <v>597</v>
      </c>
      <c r="C4" s="26" t="s">
        <v>598</v>
      </c>
      <c r="D4" s="26" t="s">
        <v>599</v>
      </c>
      <c r="E4" s="26" t="s">
        <v>733</v>
      </c>
    </row>
    <row r="5" spans="1:6">
      <c r="A5" t="s">
        <v>827</v>
      </c>
      <c r="B5" t="s">
        <v>603</v>
      </c>
      <c r="C5" t="s">
        <v>604</v>
      </c>
      <c r="D5" s="48">
        <v>150</v>
      </c>
      <c r="E5">
        <v>50</v>
      </c>
    </row>
    <row r="6" spans="1:6">
      <c r="A6" t="s">
        <v>828</v>
      </c>
      <c r="B6" t="s">
        <v>606</v>
      </c>
      <c r="C6" t="s">
        <v>604</v>
      </c>
      <c r="D6" s="48">
        <v>280</v>
      </c>
      <c r="E6">
        <v>30</v>
      </c>
    </row>
    <row r="7" spans="1:6">
      <c r="A7" t="s">
        <v>829</v>
      </c>
      <c r="B7" t="s">
        <v>608</v>
      </c>
      <c r="C7" t="s">
        <v>609</v>
      </c>
      <c r="D7" s="48">
        <v>980</v>
      </c>
      <c r="E7">
        <v>10</v>
      </c>
    </row>
    <row r="8" spans="1:6">
      <c r="A8" t="s">
        <v>830</v>
      </c>
      <c r="B8" t="s">
        <v>611</v>
      </c>
      <c r="C8" t="s">
        <v>604</v>
      </c>
      <c r="D8" s="48">
        <v>120</v>
      </c>
      <c r="E8">
        <v>100</v>
      </c>
    </row>
    <row r="9" spans="1:6">
      <c r="A9" t="s">
        <v>831</v>
      </c>
      <c r="B9" t="s">
        <v>613</v>
      </c>
      <c r="C9" t="s">
        <v>609</v>
      </c>
      <c r="D9" s="48">
        <v>550</v>
      </c>
      <c r="E9">
        <v>20</v>
      </c>
    </row>
    <row r="10" spans="1:6">
      <c r="A10" t="s">
        <v>832</v>
      </c>
      <c r="B10" t="s">
        <v>615</v>
      </c>
      <c r="C10" t="s">
        <v>604</v>
      </c>
      <c r="D10" s="48">
        <v>180</v>
      </c>
      <c r="E10">
        <v>45</v>
      </c>
    </row>
    <row r="11" spans="1:6">
      <c r="A11" t="s">
        <v>833</v>
      </c>
      <c r="B11" t="s">
        <v>617</v>
      </c>
      <c r="C11" t="s">
        <v>604</v>
      </c>
      <c r="D11" s="48">
        <v>350</v>
      </c>
      <c r="E11">
        <v>15</v>
      </c>
    </row>
    <row r="12" spans="1:6">
      <c r="A12" t="s">
        <v>834</v>
      </c>
      <c r="B12" t="s">
        <v>619</v>
      </c>
      <c r="C12" t="s">
        <v>609</v>
      </c>
      <c r="D12" s="48">
        <v>1200</v>
      </c>
      <c r="E12">
        <v>5</v>
      </c>
    </row>
    <row r="13" spans="1:6">
      <c r="A13" t="s">
        <v>835</v>
      </c>
      <c r="B13" t="s">
        <v>621</v>
      </c>
      <c r="C13" t="s">
        <v>604</v>
      </c>
      <c r="D13" s="48">
        <v>220</v>
      </c>
      <c r="E13">
        <v>40</v>
      </c>
    </row>
    <row r="14" spans="1:6">
      <c r="A14" t="s">
        <v>836</v>
      </c>
      <c r="B14" t="s">
        <v>623</v>
      </c>
      <c r="C14" t="s">
        <v>609</v>
      </c>
      <c r="D14" s="48">
        <v>480</v>
      </c>
      <c r="E14">
        <v>25</v>
      </c>
    </row>
  </sheetData>
  <mergeCells count="2">
    <mergeCell ref="A1:F1"/>
    <mergeCell ref="A2:F3"/>
  </mergeCells>
  <phoneticPr fontId="3"/>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0AC58-F852-4D46-AD32-DC273E284C0F}">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512</v>
      </c>
    </row>
    <row r="3" spans="1:2">
      <c r="A3" s="26" t="s">
        <v>1</v>
      </c>
      <c r="B3" t="s">
        <v>110</v>
      </c>
    </row>
    <row r="4" spans="1:2">
      <c r="A4" s="26" t="s">
        <v>2</v>
      </c>
      <c r="B4" t="s">
        <v>136</v>
      </c>
    </row>
    <row r="5" spans="1:2">
      <c r="A5" s="26" t="s">
        <v>253</v>
      </c>
      <c r="B5" t="s">
        <v>837</v>
      </c>
    </row>
    <row r="6" spans="1:2" ht="80" customHeight="1">
      <c r="A6" s="65" t="s">
        <v>288</v>
      </c>
      <c r="B6" s="66" t="s">
        <v>838</v>
      </c>
    </row>
    <row r="7" spans="1:2">
      <c r="A7" s="67" t="s">
        <v>590</v>
      </c>
      <c r="B7" s="3" t="s">
        <v>839</v>
      </c>
    </row>
    <row r="8" spans="1:2">
      <c r="A8" s="68" t="s">
        <v>592</v>
      </c>
      <c r="B8" s="69" t="s">
        <v>840</v>
      </c>
    </row>
  </sheetData>
  <phoneticPr fontId="3"/>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E488-7C9D-F84B-BFCD-6EE418A6B5E6}">
  <dimension ref="A1:E21"/>
  <sheetViews>
    <sheetView workbookViewId="0">
      <selection sqref="A1:E1"/>
    </sheetView>
  </sheetViews>
  <sheetFormatPr baseColWidth="10" defaultRowHeight="20"/>
  <cols>
    <col min="1" max="5" width="12.85546875" customWidth="1"/>
  </cols>
  <sheetData>
    <row r="1" spans="1:5" ht="24">
      <c r="A1" s="46" t="s">
        <v>841</v>
      </c>
      <c r="B1" s="45"/>
      <c r="C1" s="45"/>
      <c r="D1" s="45"/>
      <c r="E1" s="45"/>
    </row>
    <row r="2" spans="1:5" ht="90" customHeight="1">
      <c r="A2" s="47" t="s">
        <v>842</v>
      </c>
      <c r="B2" s="45"/>
      <c r="C2" s="45"/>
      <c r="D2" s="45"/>
      <c r="E2" s="45"/>
    </row>
    <row r="3" spans="1:5">
      <c r="A3" s="45"/>
      <c r="B3" s="45"/>
      <c r="C3" s="45"/>
      <c r="D3" s="45"/>
      <c r="E3" s="45"/>
    </row>
    <row r="4" spans="1:5">
      <c r="A4" s="33" t="s">
        <v>712</v>
      </c>
      <c r="B4" s="33" t="s">
        <v>655</v>
      </c>
    </row>
    <row r="5" spans="1:5">
      <c r="A5" t="s">
        <v>713</v>
      </c>
      <c r="B5" s="48">
        <v>2350000</v>
      </c>
    </row>
    <row r="6" spans="1:5">
      <c r="A6" t="s">
        <v>714</v>
      </c>
      <c r="B6" s="48">
        <v>1980000</v>
      </c>
    </row>
    <row r="7" spans="1:5">
      <c r="A7" t="s">
        <v>715</v>
      </c>
      <c r="B7" s="48">
        <v>2780000</v>
      </c>
    </row>
    <row r="8" spans="1:5">
      <c r="A8" t="s">
        <v>716</v>
      </c>
      <c r="B8" s="48">
        <v>2150000</v>
      </c>
    </row>
    <row r="9" spans="1:5">
      <c r="A9" t="s">
        <v>717</v>
      </c>
      <c r="B9" s="48">
        <v>2540000</v>
      </c>
    </row>
    <row r="10" spans="1:5">
      <c r="A10" t="s">
        <v>718</v>
      </c>
      <c r="B10" s="48">
        <v>2020000</v>
      </c>
    </row>
    <row r="11" spans="1:5">
      <c r="A11" t="s">
        <v>719</v>
      </c>
      <c r="B11" s="48">
        <v>2680000</v>
      </c>
    </row>
    <row r="12" spans="1:5">
      <c r="A12" t="s">
        <v>720</v>
      </c>
      <c r="B12" s="48">
        <v>1850000</v>
      </c>
    </row>
    <row r="13" spans="1:5">
      <c r="A13" t="s">
        <v>721</v>
      </c>
      <c r="B13" s="48">
        <v>2490000</v>
      </c>
    </row>
    <row r="14" spans="1:5">
      <c r="A14" t="s">
        <v>722</v>
      </c>
      <c r="B14" s="48">
        <v>2850000</v>
      </c>
    </row>
    <row r="15" spans="1:5">
      <c r="A15" t="s">
        <v>843</v>
      </c>
      <c r="B15" s="48">
        <v>2120000</v>
      </c>
    </row>
    <row r="16" spans="1:5">
      <c r="A16" t="s">
        <v>844</v>
      </c>
      <c r="B16" s="48">
        <v>3100000</v>
      </c>
    </row>
    <row r="17" spans="1:2">
      <c r="A17" s="67" t="s">
        <v>554</v>
      </c>
      <c r="B17" s="48"/>
    </row>
    <row r="18" spans="1:2">
      <c r="A18" s="67" t="s">
        <v>724</v>
      </c>
      <c r="B18" s="48"/>
    </row>
    <row r="19" spans="1:2">
      <c r="A19" s="67" t="s">
        <v>845</v>
      </c>
      <c r="B19" s="48"/>
    </row>
    <row r="20" spans="1:2">
      <c r="A20" s="67" t="s">
        <v>846</v>
      </c>
      <c r="B20" s="48"/>
    </row>
    <row r="21" spans="1:2">
      <c r="A21" s="67" t="s">
        <v>847</v>
      </c>
      <c r="B21" s="48"/>
    </row>
  </sheetData>
  <mergeCells count="2">
    <mergeCell ref="A1:E1"/>
    <mergeCell ref="A2:E3"/>
  </mergeCells>
  <phoneticPr fontId="3"/>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E9DF-6767-6A4C-9177-C7E22B7CD33B}">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514</v>
      </c>
    </row>
    <row r="3" spans="1:2">
      <c r="A3" s="26" t="s">
        <v>1</v>
      </c>
      <c r="B3" t="s">
        <v>135</v>
      </c>
    </row>
    <row r="4" spans="1:2">
      <c r="A4" s="26" t="s">
        <v>2</v>
      </c>
      <c r="B4" t="s">
        <v>848</v>
      </c>
    </row>
    <row r="5" spans="1:2">
      <c r="A5" s="26" t="s">
        <v>253</v>
      </c>
      <c r="B5" t="s">
        <v>849</v>
      </c>
    </row>
    <row r="6" spans="1:2" ht="80" customHeight="1">
      <c r="A6" s="65" t="s">
        <v>288</v>
      </c>
      <c r="B6" s="66" t="s">
        <v>850</v>
      </c>
    </row>
    <row r="7" spans="1:2">
      <c r="A7" s="67" t="s">
        <v>590</v>
      </c>
      <c r="B7" s="3" t="s">
        <v>851</v>
      </c>
    </row>
    <row r="8" spans="1:2">
      <c r="A8" s="68" t="s">
        <v>688</v>
      </c>
      <c r="B8" s="69" t="s">
        <v>852</v>
      </c>
    </row>
  </sheetData>
  <phoneticPr fontId="3"/>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4D51-23B2-4D49-8EDD-C50BBF950359}">
  <dimension ref="A1:F14"/>
  <sheetViews>
    <sheetView workbookViewId="0">
      <selection sqref="A1:F1"/>
    </sheetView>
  </sheetViews>
  <sheetFormatPr baseColWidth="10" defaultRowHeight="20"/>
  <cols>
    <col min="1" max="6" width="12.140625" customWidth="1"/>
  </cols>
  <sheetData>
    <row r="1" spans="1:6" ht="24">
      <c r="A1" s="46" t="s">
        <v>853</v>
      </c>
      <c r="B1" s="45"/>
      <c r="C1" s="45"/>
      <c r="D1" s="45"/>
      <c r="E1" s="45"/>
      <c r="F1" s="45"/>
    </row>
    <row r="2" spans="1:6" ht="70" customHeight="1">
      <c r="A2" s="47" t="s">
        <v>854</v>
      </c>
      <c r="B2" s="45"/>
      <c r="C2" s="45"/>
      <c r="D2" s="45"/>
      <c r="E2" s="45"/>
      <c r="F2" s="45"/>
    </row>
    <row r="3" spans="1:6">
      <c r="A3" s="45"/>
      <c r="B3" s="45"/>
      <c r="C3" s="45"/>
      <c r="D3" s="45"/>
      <c r="E3" s="45"/>
      <c r="F3" s="45"/>
    </row>
    <row r="4" spans="1:6">
      <c r="A4" s="33" t="s">
        <v>0</v>
      </c>
      <c r="B4" s="33" t="s">
        <v>548</v>
      </c>
      <c r="C4" s="33" t="s">
        <v>855</v>
      </c>
      <c r="D4" s="33" t="s">
        <v>856</v>
      </c>
      <c r="E4" s="33" t="s">
        <v>857</v>
      </c>
    </row>
    <row r="5" spans="1:6">
      <c r="A5">
        <v>1</v>
      </c>
      <c r="B5" t="s">
        <v>696</v>
      </c>
      <c r="C5">
        <v>85</v>
      </c>
    </row>
    <row r="6" spans="1:6">
      <c r="A6">
        <v>2</v>
      </c>
      <c r="B6" t="s">
        <v>697</v>
      </c>
      <c r="C6">
        <v>92</v>
      </c>
    </row>
    <row r="7" spans="1:6">
      <c r="A7">
        <v>3</v>
      </c>
      <c r="B7" t="s">
        <v>698</v>
      </c>
      <c r="C7">
        <v>65</v>
      </c>
    </row>
    <row r="8" spans="1:6">
      <c r="A8">
        <v>4</v>
      </c>
      <c r="B8" t="s">
        <v>699</v>
      </c>
      <c r="C8">
        <v>78</v>
      </c>
    </row>
    <row r="9" spans="1:6">
      <c r="A9">
        <v>5</v>
      </c>
      <c r="B9" t="s">
        <v>700</v>
      </c>
      <c r="C9">
        <v>88</v>
      </c>
    </row>
    <row r="10" spans="1:6">
      <c r="A10">
        <v>6</v>
      </c>
      <c r="B10" t="s">
        <v>701</v>
      </c>
      <c r="C10">
        <v>55</v>
      </c>
    </row>
    <row r="11" spans="1:6">
      <c r="A11">
        <v>7</v>
      </c>
      <c r="B11" t="s">
        <v>702</v>
      </c>
      <c r="C11">
        <v>95</v>
      </c>
    </row>
    <row r="12" spans="1:6">
      <c r="A12">
        <v>8</v>
      </c>
      <c r="B12" t="s">
        <v>703</v>
      </c>
      <c r="C12">
        <v>70</v>
      </c>
    </row>
    <row r="13" spans="1:6">
      <c r="A13">
        <v>9</v>
      </c>
      <c r="B13" t="s">
        <v>704</v>
      </c>
      <c r="C13">
        <v>82</v>
      </c>
    </row>
    <row r="14" spans="1:6">
      <c r="A14">
        <v>10</v>
      </c>
      <c r="B14" t="s">
        <v>705</v>
      </c>
      <c r="C14">
        <v>45</v>
      </c>
    </row>
  </sheetData>
  <mergeCells count="2">
    <mergeCell ref="A1:F1"/>
    <mergeCell ref="A2:F3"/>
  </mergeCells>
  <phoneticPr fontId="3"/>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9BA7-F76D-FF4D-8817-B0CF8702292D}">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517</v>
      </c>
    </row>
    <row r="3" spans="1:2">
      <c r="A3" s="26" t="s">
        <v>1</v>
      </c>
      <c r="B3" t="s">
        <v>135</v>
      </c>
    </row>
    <row r="4" spans="1:2">
      <c r="A4" s="26" t="s">
        <v>2</v>
      </c>
      <c r="B4" t="s">
        <v>518</v>
      </c>
    </row>
    <row r="5" spans="1:2">
      <c r="A5" s="26" t="s">
        <v>253</v>
      </c>
      <c r="B5" t="s">
        <v>858</v>
      </c>
    </row>
    <row r="6" spans="1:2" ht="80" customHeight="1">
      <c r="A6" s="65" t="s">
        <v>288</v>
      </c>
      <c r="B6" s="66" t="s">
        <v>859</v>
      </c>
    </row>
    <row r="7" spans="1:2">
      <c r="A7" s="67" t="s">
        <v>590</v>
      </c>
      <c r="B7" s="3" t="s">
        <v>860</v>
      </c>
    </row>
    <row r="8" spans="1:2">
      <c r="A8" s="68" t="s">
        <v>688</v>
      </c>
      <c r="B8" s="69" t="s">
        <v>861</v>
      </c>
    </row>
  </sheetData>
  <phoneticPr fontId="3"/>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5679D-31C4-EE41-9868-58A75B8DDC8D}">
  <dimension ref="A1:G16"/>
  <sheetViews>
    <sheetView workbookViewId="0">
      <selection sqref="A1:G1"/>
    </sheetView>
  </sheetViews>
  <sheetFormatPr baseColWidth="10" defaultRowHeight="20"/>
  <cols>
    <col min="1" max="7" width="12.85546875" customWidth="1"/>
  </cols>
  <sheetData>
    <row r="1" spans="1:7" ht="24">
      <c r="A1" s="46" t="s">
        <v>862</v>
      </c>
      <c r="B1" s="45"/>
      <c r="C1" s="45"/>
      <c r="D1" s="45"/>
      <c r="E1" s="45"/>
      <c r="F1" s="45"/>
      <c r="G1" s="45"/>
    </row>
    <row r="2" spans="1:7" ht="80" customHeight="1">
      <c r="A2" s="47" t="s">
        <v>863</v>
      </c>
      <c r="B2" s="45"/>
      <c r="C2" s="45"/>
      <c r="D2" s="45"/>
      <c r="E2" s="45"/>
      <c r="F2" s="45"/>
      <c r="G2" s="45"/>
    </row>
    <row r="3" spans="1:7">
      <c r="A3" s="45"/>
      <c r="B3" s="45"/>
      <c r="C3" s="45"/>
      <c r="D3" s="45"/>
      <c r="E3" s="45"/>
      <c r="F3" s="45"/>
      <c r="G3" s="45"/>
    </row>
    <row r="4" spans="1:7">
      <c r="A4" s="33" t="s">
        <v>864</v>
      </c>
      <c r="B4" s="33" t="s">
        <v>549</v>
      </c>
      <c r="C4" s="33" t="s">
        <v>654</v>
      </c>
      <c r="D4" s="33" t="s">
        <v>655</v>
      </c>
    </row>
    <row r="5" spans="1:7">
      <c r="A5" t="s">
        <v>556</v>
      </c>
      <c r="B5" t="s">
        <v>557</v>
      </c>
      <c r="C5" t="s">
        <v>865</v>
      </c>
      <c r="D5" s="48">
        <v>680000</v>
      </c>
      <c r="E5" s="67" t="s">
        <v>868</v>
      </c>
      <c r="F5" s="76"/>
    </row>
    <row r="6" spans="1:7">
      <c r="A6" t="s">
        <v>559</v>
      </c>
      <c r="B6" t="s">
        <v>557</v>
      </c>
      <c r="C6" t="s">
        <v>866</v>
      </c>
      <c r="D6" s="48">
        <v>520000</v>
      </c>
      <c r="E6" s="67" t="s">
        <v>869</v>
      </c>
      <c r="F6" s="76"/>
    </row>
    <row r="7" spans="1:7">
      <c r="A7" t="s">
        <v>561</v>
      </c>
      <c r="B7" t="s">
        <v>562</v>
      </c>
      <c r="C7" t="s">
        <v>865</v>
      </c>
      <c r="D7" s="48">
        <v>450000</v>
      </c>
      <c r="E7" s="67" t="s">
        <v>870</v>
      </c>
      <c r="F7" s="76"/>
    </row>
    <row r="8" spans="1:7">
      <c r="A8" t="s">
        <v>564</v>
      </c>
      <c r="B8" t="s">
        <v>557</v>
      </c>
      <c r="C8" t="s">
        <v>867</v>
      </c>
      <c r="D8" s="48">
        <v>380000</v>
      </c>
      <c r="E8" s="67" t="s">
        <v>871</v>
      </c>
      <c r="F8" s="76"/>
    </row>
    <row r="9" spans="1:7">
      <c r="A9" t="s">
        <v>566</v>
      </c>
      <c r="B9" t="s">
        <v>567</v>
      </c>
      <c r="C9" t="s">
        <v>865</v>
      </c>
      <c r="D9" s="48">
        <v>290000</v>
      </c>
    </row>
    <row r="10" spans="1:7">
      <c r="A10" t="s">
        <v>569</v>
      </c>
      <c r="B10" t="s">
        <v>562</v>
      </c>
      <c r="C10" t="s">
        <v>866</v>
      </c>
      <c r="D10" s="48">
        <v>550000</v>
      </c>
    </row>
    <row r="11" spans="1:7">
      <c r="A11" t="s">
        <v>571</v>
      </c>
      <c r="B11" t="s">
        <v>557</v>
      </c>
      <c r="C11" t="s">
        <v>865</v>
      </c>
      <c r="D11" s="48">
        <v>720000</v>
      </c>
    </row>
    <row r="12" spans="1:7">
      <c r="A12" t="s">
        <v>573</v>
      </c>
      <c r="B12" t="s">
        <v>567</v>
      </c>
      <c r="C12" t="s">
        <v>867</v>
      </c>
      <c r="D12" s="48">
        <v>310000</v>
      </c>
    </row>
    <row r="13" spans="1:7">
      <c r="A13" t="s">
        <v>575</v>
      </c>
      <c r="B13" t="s">
        <v>562</v>
      </c>
      <c r="C13" t="s">
        <v>865</v>
      </c>
      <c r="D13" s="48">
        <v>480000</v>
      </c>
    </row>
    <row r="14" spans="1:7">
      <c r="A14" t="s">
        <v>577</v>
      </c>
      <c r="B14" t="s">
        <v>557</v>
      </c>
      <c r="C14" t="s">
        <v>866</v>
      </c>
      <c r="D14" s="48">
        <v>610000</v>
      </c>
    </row>
    <row r="15" spans="1:7">
      <c r="A15" t="s">
        <v>579</v>
      </c>
      <c r="B15" t="s">
        <v>567</v>
      </c>
      <c r="C15" t="s">
        <v>865</v>
      </c>
      <c r="D15" s="48">
        <v>350000</v>
      </c>
    </row>
    <row r="16" spans="1:7">
      <c r="A16" t="s">
        <v>581</v>
      </c>
      <c r="B16" t="s">
        <v>557</v>
      </c>
      <c r="C16" t="s">
        <v>867</v>
      </c>
      <c r="D16" s="48">
        <v>530000</v>
      </c>
    </row>
  </sheetData>
  <mergeCells count="2">
    <mergeCell ref="A1:G1"/>
    <mergeCell ref="A2:G3"/>
  </mergeCells>
  <phoneticPr fontId="3"/>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8E80-9D8C-5C48-BFC3-964BC28137AF}">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520</v>
      </c>
    </row>
    <row r="3" spans="1:2">
      <c r="A3" s="26" t="s">
        <v>1</v>
      </c>
      <c r="B3" t="s">
        <v>135</v>
      </c>
    </row>
    <row r="4" spans="1:2">
      <c r="A4" s="26" t="s">
        <v>2</v>
      </c>
      <c r="B4" t="s">
        <v>872</v>
      </c>
    </row>
    <row r="5" spans="1:2">
      <c r="A5" s="26" t="s">
        <v>253</v>
      </c>
      <c r="B5" t="s">
        <v>873</v>
      </c>
    </row>
    <row r="6" spans="1:2" ht="80" customHeight="1">
      <c r="A6" s="65" t="s">
        <v>288</v>
      </c>
      <c r="B6" s="66" t="s">
        <v>874</v>
      </c>
    </row>
    <row r="7" spans="1:2">
      <c r="A7" s="67" t="s">
        <v>590</v>
      </c>
      <c r="B7" s="3" t="s">
        <v>875</v>
      </c>
    </row>
    <row r="8" spans="1:2">
      <c r="A8" s="68" t="s">
        <v>688</v>
      </c>
      <c r="B8" s="69" t="s">
        <v>876</v>
      </c>
    </row>
  </sheetData>
  <phoneticPr fontId="3"/>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ADD16-A477-C44B-AB8C-EE630FDA22DF}">
  <dimension ref="A1:H14"/>
  <sheetViews>
    <sheetView workbookViewId="0">
      <selection sqref="A1:H1"/>
    </sheetView>
  </sheetViews>
  <sheetFormatPr baseColWidth="10" defaultRowHeight="20"/>
  <cols>
    <col min="1" max="8" width="12.140625" customWidth="1"/>
  </cols>
  <sheetData>
    <row r="1" spans="1:8" ht="24">
      <c r="A1" s="46" t="s">
        <v>877</v>
      </c>
      <c r="B1" s="45"/>
      <c r="C1" s="45"/>
      <c r="D1" s="45"/>
      <c r="E1" s="45"/>
      <c r="F1" s="45"/>
      <c r="G1" s="45"/>
      <c r="H1" s="45"/>
    </row>
    <row r="2" spans="1:8" ht="80" customHeight="1">
      <c r="A2" s="47" t="s">
        <v>878</v>
      </c>
      <c r="B2" s="45"/>
      <c r="C2" s="45"/>
      <c r="D2" s="45"/>
      <c r="E2" s="45"/>
      <c r="F2" s="45"/>
      <c r="G2" s="45"/>
      <c r="H2" s="45"/>
    </row>
    <row r="3" spans="1:8">
      <c r="A3" s="45"/>
      <c r="B3" s="45"/>
      <c r="C3" s="45"/>
      <c r="D3" s="45"/>
      <c r="E3" s="45"/>
      <c r="F3" s="45"/>
      <c r="G3" s="45"/>
      <c r="H3" s="45"/>
    </row>
    <row r="4" spans="1:8">
      <c r="A4" s="33" t="s">
        <v>596</v>
      </c>
      <c r="B4" s="33" t="s">
        <v>597</v>
      </c>
      <c r="C4" s="33" t="s">
        <v>599</v>
      </c>
      <c r="D4" s="33" t="s">
        <v>598</v>
      </c>
    </row>
    <row r="5" spans="1:8">
      <c r="A5" t="s">
        <v>602</v>
      </c>
      <c r="B5" t="s">
        <v>603</v>
      </c>
      <c r="C5" s="48">
        <v>150</v>
      </c>
      <c r="D5" t="s">
        <v>604</v>
      </c>
      <c r="F5" s="71" t="s">
        <v>596</v>
      </c>
      <c r="G5" s="71" t="s">
        <v>879</v>
      </c>
      <c r="H5" s="71" t="s">
        <v>880</v>
      </c>
    </row>
    <row r="6" spans="1:8">
      <c r="A6" t="s">
        <v>605</v>
      </c>
      <c r="B6" t="s">
        <v>606</v>
      </c>
      <c r="C6" s="48">
        <v>280</v>
      </c>
      <c r="D6" t="s">
        <v>604</v>
      </c>
      <c r="F6" t="s">
        <v>607</v>
      </c>
    </row>
    <row r="7" spans="1:8">
      <c r="A7" t="s">
        <v>607</v>
      </c>
      <c r="B7" t="s">
        <v>608</v>
      </c>
      <c r="C7" s="48">
        <v>980</v>
      </c>
      <c r="D7" t="s">
        <v>609</v>
      </c>
      <c r="F7" t="s">
        <v>616</v>
      </c>
    </row>
    <row r="8" spans="1:8">
      <c r="A8" t="s">
        <v>610</v>
      </c>
      <c r="B8" t="s">
        <v>611</v>
      </c>
      <c r="C8" s="48">
        <v>120</v>
      </c>
      <c r="D8" t="s">
        <v>604</v>
      </c>
      <c r="F8" t="s">
        <v>602</v>
      </c>
    </row>
    <row r="9" spans="1:8">
      <c r="A9" t="s">
        <v>612</v>
      </c>
      <c r="B9" t="s">
        <v>613</v>
      </c>
      <c r="C9" s="48">
        <v>550</v>
      </c>
      <c r="D9" t="s">
        <v>609</v>
      </c>
      <c r="F9" t="s">
        <v>622</v>
      </c>
    </row>
    <row r="10" spans="1:8">
      <c r="A10" t="s">
        <v>614</v>
      </c>
      <c r="B10" t="s">
        <v>615</v>
      </c>
      <c r="C10" s="48">
        <v>180</v>
      </c>
      <c r="D10" t="s">
        <v>604</v>
      </c>
      <c r="F10" t="s">
        <v>612</v>
      </c>
    </row>
    <row r="11" spans="1:8">
      <c r="A11" t="s">
        <v>616</v>
      </c>
      <c r="B11" t="s">
        <v>617</v>
      </c>
      <c r="C11" s="48">
        <v>350</v>
      </c>
      <c r="D11" t="s">
        <v>604</v>
      </c>
      <c r="F11" s="77" t="s">
        <v>596</v>
      </c>
      <c r="G11" s="77" t="s">
        <v>881</v>
      </c>
    </row>
    <row r="12" spans="1:8">
      <c r="A12" t="s">
        <v>618</v>
      </c>
      <c r="B12" t="s">
        <v>619</v>
      </c>
      <c r="C12" s="48">
        <v>1200</v>
      </c>
      <c r="D12" t="s">
        <v>609</v>
      </c>
      <c r="F12" t="s">
        <v>618</v>
      </c>
    </row>
    <row r="13" spans="1:8">
      <c r="A13" t="s">
        <v>620</v>
      </c>
      <c r="B13" t="s">
        <v>621</v>
      </c>
      <c r="C13" s="48">
        <v>220</v>
      </c>
      <c r="D13" t="s">
        <v>604</v>
      </c>
    </row>
    <row r="14" spans="1:8">
      <c r="A14" t="s">
        <v>622</v>
      </c>
      <c r="B14" t="s">
        <v>623</v>
      </c>
      <c r="C14" s="48">
        <v>480</v>
      </c>
      <c r="D14" t="s">
        <v>609</v>
      </c>
    </row>
  </sheetData>
  <mergeCells count="2">
    <mergeCell ref="A1:H1"/>
    <mergeCell ref="A2:H3"/>
  </mergeCells>
  <phoneticPr fontId="3"/>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2482C-A140-054E-A7D2-7512E6C60229}">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523</v>
      </c>
    </row>
    <row r="3" spans="1:2">
      <c r="A3" s="26" t="s">
        <v>1</v>
      </c>
      <c r="B3" t="s">
        <v>135</v>
      </c>
    </row>
    <row r="4" spans="1:2">
      <c r="A4" s="26" t="s">
        <v>2</v>
      </c>
      <c r="B4" t="s">
        <v>882</v>
      </c>
    </row>
    <row r="5" spans="1:2">
      <c r="A5" s="26" t="s">
        <v>253</v>
      </c>
      <c r="B5" t="s">
        <v>883</v>
      </c>
    </row>
    <row r="6" spans="1:2" ht="80" customHeight="1">
      <c r="A6" s="65" t="s">
        <v>288</v>
      </c>
      <c r="B6" s="66" t="s">
        <v>884</v>
      </c>
    </row>
    <row r="7" spans="1:2">
      <c r="A7" s="67" t="s">
        <v>590</v>
      </c>
      <c r="B7" s="3" t="s">
        <v>885</v>
      </c>
    </row>
    <row r="8" spans="1:2">
      <c r="A8" s="68" t="s">
        <v>688</v>
      </c>
      <c r="B8" s="69" t="s">
        <v>886</v>
      </c>
    </row>
  </sheetData>
  <phoneticPr fontId="3"/>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9E61-C15F-A740-BFCE-5A05EDDC3E27}">
  <dimension ref="A1:H9"/>
  <sheetViews>
    <sheetView workbookViewId="0">
      <selection sqref="A1:G1"/>
    </sheetView>
  </sheetViews>
  <sheetFormatPr baseColWidth="10" defaultRowHeight="20"/>
  <cols>
    <col min="1" max="7" width="14.28515625" customWidth="1"/>
  </cols>
  <sheetData>
    <row r="1" spans="1:8" ht="24">
      <c r="A1" s="46" t="s">
        <v>887</v>
      </c>
      <c r="B1" s="45"/>
      <c r="C1" s="45"/>
      <c r="D1" s="45"/>
      <c r="E1" s="45"/>
      <c r="F1" s="45"/>
      <c r="G1" s="45"/>
    </row>
    <row r="2" spans="1:8" ht="90" customHeight="1">
      <c r="A2" s="47" t="s">
        <v>888</v>
      </c>
      <c r="B2" s="45"/>
      <c r="C2" s="45"/>
      <c r="D2" s="45"/>
      <c r="E2" s="45"/>
      <c r="F2" s="45"/>
      <c r="G2" s="45"/>
    </row>
    <row r="3" spans="1:8">
      <c r="A3" s="45"/>
      <c r="B3" s="45"/>
      <c r="C3" s="45"/>
      <c r="D3" s="45"/>
      <c r="E3" s="45"/>
      <c r="F3" s="45"/>
      <c r="G3" s="45"/>
    </row>
    <row r="4" spans="1:8">
      <c r="A4" s="33" t="s">
        <v>889</v>
      </c>
      <c r="B4" s="33" t="s">
        <v>890</v>
      </c>
      <c r="C4" s="33" t="s">
        <v>891</v>
      </c>
      <c r="D4" s="33" t="s">
        <v>892</v>
      </c>
      <c r="E4" s="71" t="s">
        <v>898</v>
      </c>
      <c r="F4" s="71" t="s">
        <v>899</v>
      </c>
      <c r="G4" s="71" t="s">
        <v>900</v>
      </c>
      <c r="H4" s="71" t="s">
        <v>901</v>
      </c>
    </row>
    <row r="5" spans="1:8">
      <c r="A5" t="s">
        <v>893</v>
      </c>
      <c r="E5" t="s">
        <v>740</v>
      </c>
      <c r="F5" t="s">
        <v>902</v>
      </c>
    </row>
    <row r="6" spans="1:8">
      <c r="A6" t="s">
        <v>894</v>
      </c>
      <c r="E6" t="s">
        <v>741</v>
      </c>
      <c r="F6" t="s">
        <v>903</v>
      </c>
    </row>
    <row r="7" spans="1:8">
      <c r="A7" t="s">
        <v>895</v>
      </c>
      <c r="E7" t="s">
        <v>789</v>
      </c>
      <c r="F7" t="s">
        <v>904</v>
      </c>
    </row>
    <row r="8" spans="1:8">
      <c r="A8" t="s">
        <v>896</v>
      </c>
      <c r="E8" t="s">
        <v>791</v>
      </c>
      <c r="F8" t="s">
        <v>905</v>
      </c>
    </row>
    <row r="9" spans="1:8">
      <c r="A9" t="s">
        <v>897</v>
      </c>
      <c r="E9" t="s">
        <v>793</v>
      </c>
      <c r="F9" t="s">
        <v>906</v>
      </c>
    </row>
  </sheetData>
  <mergeCells count="2">
    <mergeCell ref="A1:G1"/>
    <mergeCell ref="A2:G3"/>
  </mergeCells>
  <phoneticPr fontId="3"/>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E0BE-C81C-8445-88A0-54E0AD94A010}">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527</v>
      </c>
    </row>
    <row r="3" spans="1:2">
      <c r="A3" s="26" t="s">
        <v>1</v>
      </c>
      <c r="B3" t="s">
        <v>135</v>
      </c>
    </row>
    <row r="4" spans="1:2">
      <c r="A4" s="26" t="s">
        <v>2</v>
      </c>
      <c r="B4" t="s">
        <v>907</v>
      </c>
    </row>
    <row r="5" spans="1:2">
      <c r="A5" s="26" t="s">
        <v>253</v>
      </c>
      <c r="B5" t="s">
        <v>908</v>
      </c>
    </row>
    <row r="6" spans="1:2" ht="80" customHeight="1">
      <c r="A6" s="65" t="s">
        <v>288</v>
      </c>
      <c r="B6" s="66" t="s">
        <v>909</v>
      </c>
    </row>
    <row r="7" spans="1:2">
      <c r="A7" s="67" t="s">
        <v>590</v>
      </c>
      <c r="B7" s="3" t="s">
        <v>910</v>
      </c>
    </row>
    <row r="8" spans="1:2">
      <c r="A8" s="68" t="s">
        <v>688</v>
      </c>
      <c r="B8" s="69" t="s">
        <v>911</v>
      </c>
    </row>
  </sheetData>
  <phoneticPr fontId="3"/>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2B06-DE4D-C649-9EA8-AAFC47DACF56}">
  <dimension ref="A1:J22"/>
  <sheetViews>
    <sheetView workbookViewId="0">
      <selection sqref="A1:G1"/>
    </sheetView>
  </sheetViews>
  <sheetFormatPr baseColWidth="10" defaultRowHeight="20"/>
  <cols>
    <col min="1" max="7" width="12.140625" customWidth="1"/>
  </cols>
  <sheetData>
    <row r="1" spans="1:10" ht="24">
      <c r="A1" s="46" t="s">
        <v>912</v>
      </c>
      <c r="B1" s="45"/>
      <c r="C1" s="45"/>
      <c r="D1" s="45"/>
      <c r="E1" s="45"/>
      <c r="F1" s="45"/>
      <c r="G1" s="45"/>
    </row>
    <row r="2" spans="1:10" ht="70" customHeight="1">
      <c r="A2" s="47" t="s">
        <v>913</v>
      </c>
      <c r="B2" s="45"/>
      <c r="C2" s="45"/>
      <c r="D2" s="45"/>
      <c r="E2" s="45"/>
      <c r="F2" s="45"/>
      <c r="G2" s="45"/>
    </row>
    <row r="3" spans="1:10">
      <c r="A3" s="45"/>
      <c r="B3" s="45"/>
      <c r="C3" s="45"/>
      <c r="D3" s="45"/>
      <c r="E3" s="45"/>
      <c r="F3" s="45"/>
      <c r="G3" s="45"/>
    </row>
    <row r="4" spans="1:10">
      <c r="A4" s="26" t="s">
        <v>914</v>
      </c>
      <c r="C4" s="78">
        <v>0.1</v>
      </c>
    </row>
    <row r="5" spans="1:10">
      <c r="A5" s="33" t="s">
        <v>732</v>
      </c>
      <c r="B5" s="33" t="s">
        <v>915</v>
      </c>
      <c r="C5" s="33" t="s">
        <v>916</v>
      </c>
      <c r="D5" s="33" t="s">
        <v>917</v>
      </c>
    </row>
    <row r="6" spans="1:10">
      <c r="A6" t="s">
        <v>918</v>
      </c>
      <c r="B6" s="48">
        <v>98000</v>
      </c>
      <c r="C6" s="48"/>
      <c r="D6" s="48"/>
    </row>
    <row r="7" spans="1:10">
      <c r="A7" t="s">
        <v>919</v>
      </c>
      <c r="B7" s="48">
        <v>2500</v>
      </c>
      <c r="C7" s="48"/>
      <c r="D7" s="48"/>
    </row>
    <row r="8" spans="1:10">
      <c r="A8" t="s">
        <v>920</v>
      </c>
      <c r="B8" s="48">
        <v>5800</v>
      </c>
      <c r="C8" s="48"/>
      <c r="D8" s="48"/>
    </row>
    <row r="9" spans="1:10">
      <c r="A9" t="s">
        <v>921</v>
      </c>
      <c r="B9" s="48">
        <v>35000</v>
      </c>
      <c r="C9" s="48"/>
      <c r="D9" s="48"/>
    </row>
    <row r="10" spans="1:10">
      <c r="A10" t="s">
        <v>922</v>
      </c>
      <c r="B10" s="48">
        <v>1200</v>
      </c>
      <c r="C10" s="48"/>
      <c r="D10" s="48"/>
    </row>
    <row r="12" spans="1:10">
      <c r="A12" s="70" t="s">
        <v>923</v>
      </c>
    </row>
    <row r="13" spans="1:10">
      <c r="A13" s="71" t="s">
        <v>924</v>
      </c>
      <c r="B13" s="79">
        <v>1</v>
      </c>
      <c r="C13" s="71">
        <v>2</v>
      </c>
      <c r="D13" s="71">
        <v>3</v>
      </c>
      <c r="E13" s="71">
        <v>4</v>
      </c>
      <c r="F13" s="71">
        <v>5</v>
      </c>
      <c r="G13" s="71">
        <v>6</v>
      </c>
      <c r="H13" s="71">
        <v>7</v>
      </c>
      <c r="I13" s="71">
        <v>8</v>
      </c>
      <c r="J13" s="71">
        <v>9</v>
      </c>
    </row>
    <row r="14" spans="1:10">
      <c r="A14" s="71">
        <v>1</v>
      </c>
    </row>
    <row r="15" spans="1:10">
      <c r="A15" s="71">
        <v>2</v>
      </c>
    </row>
    <row r="16" spans="1:10">
      <c r="A16" s="71">
        <v>3</v>
      </c>
    </row>
    <row r="17" spans="1:1">
      <c r="A17" s="71">
        <v>4</v>
      </c>
    </row>
    <row r="18" spans="1:1">
      <c r="A18" s="71">
        <v>5</v>
      </c>
    </row>
    <row r="19" spans="1:1">
      <c r="A19" s="71">
        <v>6</v>
      </c>
    </row>
    <row r="20" spans="1:1">
      <c r="A20" s="71">
        <v>7</v>
      </c>
    </row>
    <row r="21" spans="1:1">
      <c r="A21" s="71">
        <v>8</v>
      </c>
    </row>
    <row r="22" spans="1:1">
      <c r="A22" s="71">
        <v>9</v>
      </c>
    </row>
  </sheetData>
  <mergeCells count="2">
    <mergeCell ref="A1:G1"/>
    <mergeCell ref="A2:G3"/>
  </mergeCells>
  <phoneticPr fontId="3"/>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A29B-FC52-A84B-BDBE-7D0BDDBDC8EA}">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530</v>
      </c>
    </row>
    <row r="3" spans="1:2">
      <c r="A3" s="26" t="s">
        <v>1</v>
      </c>
      <c r="B3" t="s">
        <v>135</v>
      </c>
    </row>
    <row r="4" spans="1:2">
      <c r="A4" s="26" t="s">
        <v>2</v>
      </c>
      <c r="B4" t="s">
        <v>531</v>
      </c>
    </row>
    <row r="5" spans="1:2">
      <c r="A5" s="26" t="s">
        <v>253</v>
      </c>
      <c r="B5" t="s">
        <v>925</v>
      </c>
    </row>
    <row r="6" spans="1:2" ht="80" customHeight="1">
      <c r="A6" s="65" t="s">
        <v>288</v>
      </c>
      <c r="B6" s="66" t="s">
        <v>926</v>
      </c>
    </row>
    <row r="7" spans="1:2">
      <c r="A7" s="67" t="s">
        <v>590</v>
      </c>
      <c r="B7" s="3" t="s">
        <v>927</v>
      </c>
    </row>
    <row r="8" spans="1:2">
      <c r="A8" s="68" t="s">
        <v>592</v>
      </c>
      <c r="B8" s="69" t="s">
        <v>928</v>
      </c>
    </row>
  </sheetData>
  <phoneticPr fontId="3"/>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A182F-D542-494C-A2AD-1C0CBEC0DB02}">
  <dimension ref="A1:H14"/>
  <sheetViews>
    <sheetView workbookViewId="0">
      <selection sqref="A1:H1"/>
    </sheetView>
  </sheetViews>
  <sheetFormatPr baseColWidth="10" defaultRowHeight="20"/>
  <cols>
    <col min="1" max="8" width="12.85546875" customWidth="1"/>
  </cols>
  <sheetData>
    <row r="1" spans="1:8" ht="24">
      <c r="A1" s="46" t="s">
        <v>929</v>
      </c>
      <c r="B1" s="45"/>
      <c r="C1" s="45"/>
      <c r="D1" s="45"/>
      <c r="E1" s="45"/>
      <c r="F1" s="45"/>
      <c r="G1" s="45"/>
      <c r="H1" s="45"/>
    </row>
    <row r="2" spans="1:8" ht="70" customHeight="1">
      <c r="A2" s="47" t="s">
        <v>930</v>
      </c>
      <c r="B2" s="45"/>
      <c r="C2" s="45"/>
      <c r="D2" s="45"/>
      <c r="E2" s="45"/>
      <c r="F2" s="45"/>
      <c r="G2" s="45"/>
      <c r="H2" s="45"/>
    </row>
    <row r="3" spans="1:8">
      <c r="A3" s="45"/>
      <c r="B3" s="45"/>
      <c r="C3" s="45"/>
      <c r="D3" s="45"/>
      <c r="E3" s="45"/>
      <c r="F3" s="45"/>
      <c r="G3" s="45"/>
      <c r="H3" s="45"/>
    </row>
    <row r="4" spans="1:8">
      <c r="A4" s="33" t="s">
        <v>654</v>
      </c>
      <c r="B4" s="33" t="s">
        <v>931</v>
      </c>
      <c r="D4" s="71" t="s">
        <v>932</v>
      </c>
      <c r="F4" s="77" t="s">
        <v>933</v>
      </c>
      <c r="G4" s="80"/>
      <c r="H4" s="81" t="s">
        <v>934</v>
      </c>
    </row>
    <row r="5" spans="1:8">
      <c r="A5" t="s">
        <v>660</v>
      </c>
      <c r="B5" s="48">
        <v>15800000</v>
      </c>
    </row>
    <row r="6" spans="1:8">
      <c r="A6" t="s">
        <v>662</v>
      </c>
      <c r="B6" s="48">
        <v>12500000</v>
      </c>
    </row>
    <row r="7" spans="1:8">
      <c r="A7" t="s">
        <v>664</v>
      </c>
      <c r="B7" s="48">
        <v>8900000</v>
      </c>
    </row>
    <row r="8" spans="1:8">
      <c r="A8" t="s">
        <v>666</v>
      </c>
      <c r="B8" s="48">
        <v>6700000</v>
      </c>
    </row>
    <row r="9" spans="1:8">
      <c r="A9" t="s">
        <v>660</v>
      </c>
      <c r="B9" s="48">
        <v>9400000</v>
      </c>
    </row>
    <row r="10" spans="1:8">
      <c r="A10" t="s">
        <v>668</v>
      </c>
      <c r="B10" s="48">
        <v>5200000</v>
      </c>
    </row>
    <row r="11" spans="1:8">
      <c r="A11" t="s">
        <v>670</v>
      </c>
      <c r="B11" s="48">
        <v>4800000</v>
      </c>
    </row>
    <row r="12" spans="1:8">
      <c r="A12" t="s">
        <v>662</v>
      </c>
      <c r="B12" s="48">
        <v>8200000</v>
      </c>
    </row>
    <row r="13" spans="1:8">
      <c r="A13" t="s">
        <v>660</v>
      </c>
      <c r="B13" s="48">
        <v>7800000</v>
      </c>
    </row>
    <row r="14" spans="1:8">
      <c r="A14" t="s">
        <v>664</v>
      </c>
      <c r="B14" s="48">
        <v>5500000</v>
      </c>
    </row>
  </sheetData>
  <mergeCells count="2">
    <mergeCell ref="A1:H1"/>
    <mergeCell ref="A2:H3"/>
  </mergeCells>
  <phoneticPr fontId="3"/>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A4F9-4A83-324F-B87E-D1771B7E37F5}">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533</v>
      </c>
    </row>
    <row r="3" spans="1:2">
      <c r="A3" s="26" t="s">
        <v>1</v>
      </c>
      <c r="B3" t="s">
        <v>135</v>
      </c>
    </row>
    <row r="4" spans="1:2">
      <c r="A4" s="26" t="s">
        <v>2</v>
      </c>
      <c r="B4" t="s">
        <v>935</v>
      </c>
    </row>
    <row r="5" spans="1:2">
      <c r="A5" s="26" t="s">
        <v>253</v>
      </c>
      <c r="B5" t="s">
        <v>936</v>
      </c>
    </row>
    <row r="6" spans="1:2" ht="80" customHeight="1">
      <c r="A6" s="65" t="s">
        <v>288</v>
      </c>
      <c r="B6" s="66" t="s">
        <v>937</v>
      </c>
    </row>
    <row r="7" spans="1:2">
      <c r="A7" s="67" t="s">
        <v>590</v>
      </c>
      <c r="B7" s="3" t="s">
        <v>938</v>
      </c>
    </row>
    <row r="8" spans="1:2">
      <c r="A8" s="68" t="s">
        <v>592</v>
      </c>
      <c r="B8" s="69" t="s">
        <v>939</v>
      </c>
    </row>
  </sheetData>
  <phoneticPr fontId="3"/>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7C96-5DD4-6A40-85F6-D4EC5DA8B08F}">
  <dimension ref="A1:E8"/>
  <sheetViews>
    <sheetView workbookViewId="0">
      <selection sqref="A1:E1"/>
    </sheetView>
  </sheetViews>
  <sheetFormatPr baseColWidth="10" defaultRowHeight="20"/>
  <cols>
    <col min="1" max="5" width="12.85546875" customWidth="1"/>
  </cols>
  <sheetData>
    <row r="1" spans="1:5" ht="24">
      <c r="A1" s="46" t="s">
        <v>940</v>
      </c>
      <c r="B1" s="45"/>
      <c r="C1" s="45"/>
      <c r="D1" s="45"/>
      <c r="E1" s="45"/>
    </row>
    <row r="2" spans="1:5" ht="80" customHeight="1">
      <c r="A2" s="47" t="s">
        <v>941</v>
      </c>
      <c r="B2" s="45"/>
      <c r="C2" s="45"/>
      <c r="D2" s="45"/>
      <c r="E2" s="45"/>
    </row>
    <row r="3" spans="1:5">
      <c r="A3" s="45"/>
      <c r="B3" s="45"/>
      <c r="C3" s="45"/>
      <c r="D3" s="45"/>
      <c r="E3" s="45"/>
    </row>
    <row r="4" spans="1:5">
      <c r="A4" s="33" t="s">
        <v>942</v>
      </c>
      <c r="B4" s="33" t="s">
        <v>943</v>
      </c>
      <c r="C4" s="33" t="s">
        <v>944</v>
      </c>
      <c r="D4" s="33" t="s">
        <v>945</v>
      </c>
    </row>
    <row r="5" spans="1:5">
      <c r="A5" t="s">
        <v>659</v>
      </c>
      <c r="B5" s="48">
        <v>5200000</v>
      </c>
      <c r="C5" s="48">
        <v>5800000</v>
      </c>
      <c r="D5" s="48">
        <v>4900000</v>
      </c>
    </row>
    <row r="6" spans="1:5">
      <c r="A6" t="s">
        <v>661</v>
      </c>
      <c r="B6" s="48">
        <v>3800000</v>
      </c>
      <c r="C6" s="48">
        <v>4100000</v>
      </c>
      <c r="D6" s="48">
        <v>3600000</v>
      </c>
    </row>
    <row r="7" spans="1:5">
      <c r="A7" t="s">
        <v>663</v>
      </c>
      <c r="B7" s="48">
        <v>2900000</v>
      </c>
      <c r="C7" s="48">
        <v>3200000</v>
      </c>
      <c r="D7" s="48">
        <v>2800000</v>
      </c>
    </row>
    <row r="8" spans="1:5">
      <c r="A8" t="s">
        <v>665</v>
      </c>
      <c r="B8" s="48">
        <v>2100000</v>
      </c>
      <c r="C8" s="48">
        <v>2400000</v>
      </c>
      <c r="D8" s="48">
        <v>2300000</v>
      </c>
    </row>
  </sheetData>
  <mergeCells count="2">
    <mergeCell ref="A1:E1"/>
    <mergeCell ref="A2:E3"/>
  </mergeCells>
  <phoneticPr fontId="3"/>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5A99-7E2D-7548-89C9-AE15EA265508}">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536</v>
      </c>
    </row>
    <row r="3" spans="1:2">
      <c r="A3" s="26" t="s">
        <v>1</v>
      </c>
      <c r="B3" t="s">
        <v>166</v>
      </c>
    </row>
    <row r="4" spans="1:2">
      <c r="A4" s="26" t="s">
        <v>2</v>
      </c>
      <c r="B4" t="s">
        <v>167</v>
      </c>
    </row>
    <row r="5" spans="1:2">
      <c r="A5" s="26" t="s">
        <v>253</v>
      </c>
      <c r="B5" t="s">
        <v>946</v>
      </c>
    </row>
    <row r="6" spans="1:2" ht="80" customHeight="1">
      <c r="A6" s="65" t="s">
        <v>288</v>
      </c>
      <c r="B6" s="66" t="s">
        <v>947</v>
      </c>
    </row>
    <row r="7" spans="1:2">
      <c r="A7" s="67" t="s">
        <v>590</v>
      </c>
      <c r="B7" s="3" t="s">
        <v>948</v>
      </c>
    </row>
    <row r="8" spans="1:2">
      <c r="A8" s="68" t="s">
        <v>592</v>
      </c>
      <c r="B8" s="69" t="s">
        <v>949</v>
      </c>
    </row>
  </sheetData>
  <phoneticPr fontId="3"/>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46D5-4B85-6943-A3F0-5A0F8620F523}">
  <dimension ref="A1:B9"/>
  <sheetViews>
    <sheetView workbookViewId="0">
      <selection sqref="A1:B1"/>
    </sheetView>
  </sheetViews>
  <sheetFormatPr baseColWidth="10" defaultRowHeight="20"/>
  <cols>
    <col min="1" max="2" width="14.28515625" customWidth="1"/>
  </cols>
  <sheetData>
    <row r="1" spans="1:2" ht="24">
      <c r="A1" s="46" t="s">
        <v>950</v>
      </c>
      <c r="B1" s="45"/>
    </row>
    <row r="2" spans="1:2" ht="80" customHeight="1">
      <c r="A2" s="47" t="s">
        <v>951</v>
      </c>
      <c r="B2" s="45"/>
    </row>
    <row r="3" spans="1:2">
      <c r="A3" s="45"/>
      <c r="B3" s="45"/>
    </row>
    <row r="4" spans="1:2">
      <c r="A4" s="33" t="s">
        <v>654</v>
      </c>
      <c r="B4" s="33" t="s">
        <v>655</v>
      </c>
    </row>
    <row r="5" spans="1:2">
      <c r="A5" t="s">
        <v>660</v>
      </c>
      <c r="B5" s="48">
        <v>33000000</v>
      </c>
    </row>
    <row r="6" spans="1:2">
      <c r="A6" t="s">
        <v>662</v>
      </c>
      <c r="B6" s="48">
        <v>26300000</v>
      </c>
    </row>
    <row r="7" spans="1:2">
      <c r="A7" t="s">
        <v>664</v>
      </c>
      <c r="B7" s="48">
        <v>19900000</v>
      </c>
    </row>
    <row r="8" spans="1:2">
      <c r="A8" t="s">
        <v>666</v>
      </c>
      <c r="B8" s="48">
        <v>10500000</v>
      </c>
    </row>
    <row r="9" spans="1:2">
      <c r="A9" t="s">
        <v>952</v>
      </c>
      <c r="B9" s="48">
        <v>10000000</v>
      </c>
    </row>
  </sheetData>
  <mergeCells count="2">
    <mergeCell ref="A1:B1"/>
    <mergeCell ref="A2:B3"/>
  </mergeCells>
  <phoneticPr fontId="3"/>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80F0-9C56-7049-A8E7-85077F5401BB}">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539</v>
      </c>
    </row>
    <row r="3" spans="1:2">
      <c r="A3" s="26" t="s">
        <v>1</v>
      </c>
      <c r="B3" t="s">
        <v>166</v>
      </c>
    </row>
    <row r="4" spans="1:2">
      <c r="A4" s="26" t="s">
        <v>2</v>
      </c>
      <c r="B4" t="s">
        <v>170</v>
      </c>
    </row>
    <row r="5" spans="1:2">
      <c r="A5" s="26" t="s">
        <v>253</v>
      </c>
      <c r="B5" t="s">
        <v>953</v>
      </c>
    </row>
    <row r="6" spans="1:2" ht="80" customHeight="1">
      <c r="A6" s="65" t="s">
        <v>288</v>
      </c>
      <c r="B6" s="66" t="s">
        <v>954</v>
      </c>
    </row>
    <row r="7" spans="1:2">
      <c r="A7" s="67" t="s">
        <v>590</v>
      </c>
      <c r="B7" s="3" t="s">
        <v>955</v>
      </c>
    </row>
    <row r="8" spans="1:2">
      <c r="A8" s="68" t="s">
        <v>592</v>
      </c>
      <c r="B8" s="69" t="s">
        <v>956</v>
      </c>
    </row>
  </sheetData>
  <phoneticPr fontId="3"/>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92C2-977B-A244-A178-BE744A81F8D1}">
  <dimension ref="A1:G16"/>
  <sheetViews>
    <sheetView workbookViewId="0">
      <selection sqref="A1:G1"/>
    </sheetView>
  </sheetViews>
  <sheetFormatPr baseColWidth="10" defaultRowHeight="20"/>
  <cols>
    <col min="1" max="7" width="11.42578125" customWidth="1"/>
  </cols>
  <sheetData>
    <row r="1" spans="1:7" ht="24">
      <c r="A1" s="46" t="s">
        <v>957</v>
      </c>
      <c r="B1" s="45"/>
      <c r="C1" s="45"/>
      <c r="D1" s="45"/>
      <c r="E1" s="45"/>
      <c r="F1" s="45"/>
      <c r="G1" s="45"/>
    </row>
    <row r="2" spans="1:7" ht="90" customHeight="1">
      <c r="A2" s="47" t="s">
        <v>958</v>
      </c>
      <c r="B2" s="45"/>
      <c r="C2" s="45"/>
      <c r="D2" s="45"/>
      <c r="E2" s="45"/>
      <c r="F2" s="45"/>
      <c r="G2" s="45"/>
    </row>
    <row r="3" spans="1:7">
      <c r="A3" s="45"/>
      <c r="B3" s="45"/>
      <c r="C3" s="45"/>
      <c r="D3" s="45"/>
      <c r="E3" s="45"/>
      <c r="F3" s="45"/>
      <c r="G3" s="45"/>
    </row>
    <row r="4" spans="1:7">
      <c r="A4" s="33" t="s">
        <v>712</v>
      </c>
      <c r="B4" s="33" t="s">
        <v>959</v>
      </c>
      <c r="C4" s="33" t="s">
        <v>960</v>
      </c>
      <c r="D4" s="82" t="s">
        <v>961</v>
      </c>
    </row>
    <row r="5" spans="1:7">
      <c r="A5" t="s">
        <v>713</v>
      </c>
      <c r="B5" s="48">
        <v>2350</v>
      </c>
      <c r="C5" s="48">
        <v>2100</v>
      </c>
      <c r="D5" s="48">
        <v>2400</v>
      </c>
    </row>
    <row r="6" spans="1:7">
      <c r="A6" t="s">
        <v>714</v>
      </c>
      <c r="B6" s="48">
        <v>1980</v>
      </c>
      <c r="C6" s="48">
        <v>1850</v>
      </c>
      <c r="D6" s="48">
        <v>2200</v>
      </c>
    </row>
    <row r="7" spans="1:7">
      <c r="A7" t="s">
        <v>715</v>
      </c>
      <c r="B7" s="48">
        <v>2780</v>
      </c>
      <c r="C7" s="48">
        <v>2500</v>
      </c>
      <c r="D7" s="48">
        <v>2600</v>
      </c>
    </row>
    <row r="8" spans="1:7">
      <c r="A8" t="s">
        <v>716</v>
      </c>
      <c r="B8" s="48">
        <v>2150</v>
      </c>
      <c r="C8" s="48">
        <v>2000</v>
      </c>
      <c r="D8" s="48">
        <v>2300</v>
      </c>
    </row>
    <row r="9" spans="1:7">
      <c r="A9" t="s">
        <v>717</v>
      </c>
      <c r="B9" s="48">
        <v>2540</v>
      </c>
      <c r="C9" s="48">
        <v>2350</v>
      </c>
      <c r="D9" s="48">
        <v>2500</v>
      </c>
    </row>
    <row r="10" spans="1:7">
      <c r="A10" t="s">
        <v>718</v>
      </c>
      <c r="B10" s="48">
        <v>2020</v>
      </c>
      <c r="C10" s="48">
        <v>1900</v>
      </c>
      <c r="D10" s="48">
        <v>2200</v>
      </c>
    </row>
    <row r="11" spans="1:7">
      <c r="A11" t="s">
        <v>719</v>
      </c>
      <c r="B11" s="48">
        <v>2680</v>
      </c>
      <c r="C11" s="48">
        <v>2450</v>
      </c>
      <c r="D11" s="48">
        <v>2600</v>
      </c>
    </row>
    <row r="12" spans="1:7">
      <c r="A12" t="s">
        <v>720</v>
      </c>
      <c r="B12" s="48">
        <v>1850</v>
      </c>
      <c r="C12" s="48">
        <v>1750</v>
      </c>
      <c r="D12" s="48">
        <v>2000</v>
      </c>
    </row>
    <row r="13" spans="1:7">
      <c r="A13" t="s">
        <v>721</v>
      </c>
      <c r="B13" s="48">
        <v>2490</v>
      </c>
      <c r="C13" s="48">
        <v>2300</v>
      </c>
      <c r="D13" s="48">
        <v>2500</v>
      </c>
    </row>
    <row r="14" spans="1:7">
      <c r="A14" t="s">
        <v>722</v>
      </c>
      <c r="B14" s="48">
        <v>2850</v>
      </c>
      <c r="C14" s="48">
        <v>2600</v>
      </c>
      <c r="D14" s="48">
        <v>2700</v>
      </c>
    </row>
    <row r="15" spans="1:7">
      <c r="A15" t="s">
        <v>843</v>
      </c>
      <c r="B15" s="48">
        <v>2120</v>
      </c>
      <c r="C15" s="48">
        <v>1950</v>
      </c>
      <c r="D15" s="48">
        <v>2300</v>
      </c>
    </row>
    <row r="16" spans="1:7">
      <c r="A16" t="s">
        <v>844</v>
      </c>
      <c r="B16" s="48">
        <v>3100</v>
      </c>
      <c r="C16" s="48">
        <v>2800</v>
      </c>
      <c r="D16" s="48">
        <v>3000</v>
      </c>
    </row>
  </sheetData>
  <mergeCells count="2">
    <mergeCell ref="A1:G1"/>
    <mergeCell ref="A2:G3"/>
  </mergeCells>
  <phoneticPr fontId="3"/>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1EA2-8C62-A548-B2E0-B18E9334D164}">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26" t="s">
        <v>189</v>
      </c>
      <c r="B2" t="s">
        <v>542</v>
      </c>
    </row>
    <row r="3" spans="1:2">
      <c r="A3" s="26" t="s">
        <v>1</v>
      </c>
      <c r="B3" t="s">
        <v>166</v>
      </c>
    </row>
    <row r="4" spans="1:2">
      <c r="A4" s="26" t="s">
        <v>2</v>
      </c>
      <c r="B4" t="s">
        <v>962</v>
      </c>
    </row>
    <row r="5" spans="1:2">
      <c r="A5" s="26" t="s">
        <v>253</v>
      </c>
      <c r="B5" t="s">
        <v>963</v>
      </c>
    </row>
    <row r="6" spans="1:2" ht="100" customHeight="1">
      <c r="A6" s="65" t="s">
        <v>288</v>
      </c>
      <c r="B6" s="66" t="s">
        <v>964</v>
      </c>
    </row>
    <row r="7" spans="1:2">
      <c r="A7" s="67" t="s">
        <v>590</v>
      </c>
      <c r="B7" s="3" t="s">
        <v>965</v>
      </c>
    </row>
    <row r="8" spans="1:2">
      <c r="A8" s="68" t="s">
        <v>592</v>
      </c>
      <c r="B8" s="69" t="s">
        <v>966</v>
      </c>
    </row>
  </sheetData>
  <phoneticPr fontId="3"/>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3CEC-CADD-5A49-B776-8A370C8847AE}">
  <dimension ref="A1:G19"/>
  <sheetViews>
    <sheetView tabSelected="1" workbookViewId="0">
      <selection sqref="A1:G1"/>
    </sheetView>
  </sheetViews>
  <sheetFormatPr baseColWidth="10" defaultRowHeight="20"/>
  <cols>
    <col min="1" max="7" width="12.85546875" customWidth="1"/>
  </cols>
  <sheetData>
    <row r="1" spans="1:7" ht="24">
      <c r="A1" s="46" t="s">
        <v>967</v>
      </c>
      <c r="B1" s="45"/>
      <c r="C1" s="45"/>
      <c r="D1" s="45"/>
      <c r="E1" s="45"/>
      <c r="F1" s="45"/>
      <c r="G1" s="45"/>
    </row>
    <row r="2" spans="1:7" ht="85" customHeight="1">
      <c r="A2" s="47" t="s">
        <v>968</v>
      </c>
      <c r="B2" s="45"/>
      <c r="C2" s="45"/>
      <c r="D2" s="45"/>
      <c r="E2" s="45"/>
      <c r="F2" s="45"/>
      <c r="G2" s="45"/>
    </row>
    <row r="3" spans="1:7">
      <c r="A3" s="45"/>
      <c r="B3" s="45"/>
      <c r="C3" s="45"/>
      <c r="D3" s="45"/>
      <c r="E3" s="45"/>
      <c r="F3" s="45"/>
      <c r="G3" s="45"/>
    </row>
    <row r="4" spans="1:7">
      <c r="A4" s="33" t="s">
        <v>864</v>
      </c>
      <c r="B4" s="33" t="s">
        <v>549</v>
      </c>
      <c r="C4" s="33" t="s">
        <v>654</v>
      </c>
      <c r="D4" s="33" t="s">
        <v>655</v>
      </c>
    </row>
    <row r="5" spans="1:7">
      <c r="A5" t="s">
        <v>556</v>
      </c>
      <c r="B5" t="s">
        <v>557</v>
      </c>
      <c r="C5" t="s">
        <v>865</v>
      </c>
      <c r="D5" s="48">
        <v>680000</v>
      </c>
      <c r="E5" s="67" t="s">
        <v>969</v>
      </c>
      <c r="F5" s="48"/>
    </row>
    <row r="6" spans="1:7">
      <c r="A6" t="s">
        <v>559</v>
      </c>
      <c r="B6" t="s">
        <v>557</v>
      </c>
      <c r="C6" t="s">
        <v>866</v>
      </c>
      <c r="D6" s="48">
        <v>520000</v>
      </c>
      <c r="E6" s="67" t="s">
        <v>970</v>
      </c>
      <c r="F6" s="48"/>
    </row>
    <row r="7" spans="1:7">
      <c r="A7" t="s">
        <v>561</v>
      </c>
      <c r="B7" t="s">
        <v>562</v>
      </c>
      <c r="C7" t="s">
        <v>865</v>
      </c>
      <c r="D7" s="48">
        <v>450000</v>
      </c>
      <c r="E7" s="67" t="s">
        <v>971</v>
      </c>
      <c r="F7" s="48"/>
    </row>
    <row r="8" spans="1:7">
      <c r="A8" t="s">
        <v>564</v>
      </c>
      <c r="B8" t="s">
        <v>557</v>
      </c>
      <c r="C8" t="s">
        <v>867</v>
      </c>
      <c r="D8" s="48">
        <v>380000</v>
      </c>
      <c r="E8" s="67" t="s">
        <v>972</v>
      </c>
      <c r="F8" s="48"/>
    </row>
    <row r="9" spans="1:7">
      <c r="A9" t="s">
        <v>566</v>
      </c>
      <c r="B9" t="s">
        <v>567</v>
      </c>
      <c r="C9" t="s">
        <v>865</v>
      </c>
      <c r="D9" s="48">
        <v>290000</v>
      </c>
    </row>
    <row r="10" spans="1:7">
      <c r="A10" t="s">
        <v>569</v>
      </c>
      <c r="B10" t="s">
        <v>562</v>
      </c>
      <c r="C10" t="s">
        <v>866</v>
      </c>
      <c r="D10" s="48">
        <v>550000</v>
      </c>
    </row>
    <row r="11" spans="1:7">
      <c r="A11" t="s">
        <v>571</v>
      </c>
      <c r="B11" t="s">
        <v>557</v>
      </c>
      <c r="C11" t="s">
        <v>865</v>
      </c>
      <c r="D11" s="48">
        <v>720000</v>
      </c>
    </row>
    <row r="12" spans="1:7">
      <c r="A12" t="s">
        <v>573</v>
      </c>
      <c r="B12" t="s">
        <v>567</v>
      </c>
      <c r="C12" t="s">
        <v>867</v>
      </c>
      <c r="D12" s="48">
        <v>310000</v>
      </c>
    </row>
    <row r="13" spans="1:7">
      <c r="A13" t="s">
        <v>575</v>
      </c>
      <c r="B13" t="s">
        <v>562</v>
      </c>
      <c r="C13" t="s">
        <v>865</v>
      </c>
      <c r="D13" s="48">
        <v>480000</v>
      </c>
    </row>
    <row r="14" spans="1:7">
      <c r="A14" t="s">
        <v>577</v>
      </c>
      <c r="B14" t="s">
        <v>557</v>
      </c>
      <c r="C14" t="s">
        <v>866</v>
      </c>
      <c r="D14" s="48">
        <v>610000</v>
      </c>
    </row>
    <row r="15" spans="1:7">
      <c r="A15" t="s">
        <v>579</v>
      </c>
      <c r="B15" t="s">
        <v>567</v>
      </c>
      <c r="C15" t="s">
        <v>865</v>
      </c>
      <c r="D15" s="48">
        <v>350000</v>
      </c>
    </row>
    <row r="16" spans="1:7">
      <c r="A16" t="s">
        <v>581</v>
      </c>
      <c r="B16" t="s">
        <v>557</v>
      </c>
      <c r="C16" t="s">
        <v>867</v>
      </c>
      <c r="D16" s="48">
        <v>530000</v>
      </c>
    </row>
    <row r="17" spans="1:4">
      <c r="A17" t="s">
        <v>587</v>
      </c>
      <c r="B17" t="s">
        <v>562</v>
      </c>
      <c r="C17" t="s">
        <v>866</v>
      </c>
      <c r="D17" s="48">
        <v>420000</v>
      </c>
    </row>
    <row r="18" spans="1:4">
      <c r="A18" t="s">
        <v>583</v>
      </c>
      <c r="B18" t="s">
        <v>557</v>
      </c>
      <c r="C18" t="s">
        <v>865</v>
      </c>
      <c r="D18" s="48">
        <v>590000</v>
      </c>
    </row>
    <row r="19" spans="1:4">
      <c r="A19" t="s">
        <v>585</v>
      </c>
      <c r="B19" t="s">
        <v>567</v>
      </c>
      <c r="C19" t="s">
        <v>866</v>
      </c>
      <c r="D19" s="48">
        <v>280000</v>
      </c>
    </row>
  </sheetData>
  <mergeCells count="2">
    <mergeCell ref="A1:G1"/>
    <mergeCell ref="A2:G3"/>
  </mergeCells>
  <phoneticPr fontId="3"/>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9C82-5185-C84B-99E7-2FBA13B8E749}">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973</v>
      </c>
    </row>
    <row r="3" spans="1:2">
      <c r="A3" s="30" t="s">
        <v>1</v>
      </c>
      <c r="B3" s="42" t="s">
        <v>135</v>
      </c>
    </row>
    <row r="4" spans="1:2">
      <c r="A4" s="30" t="s">
        <v>2</v>
      </c>
      <c r="B4" s="42" t="s">
        <v>974</v>
      </c>
    </row>
    <row r="5" spans="1:2">
      <c r="A5" s="30" t="s">
        <v>253</v>
      </c>
      <c r="B5" s="42" t="s">
        <v>975</v>
      </c>
    </row>
    <row r="6" spans="1:2" ht="80" customHeight="1">
      <c r="A6" s="57" t="s">
        <v>288</v>
      </c>
      <c r="B6" s="58" t="s">
        <v>976</v>
      </c>
    </row>
    <row r="7" spans="1:2" ht="80" customHeight="1">
      <c r="A7" s="59" t="s">
        <v>590</v>
      </c>
      <c r="B7" s="64" t="s">
        <v>977</v>
      </c>
    </row>
    <row r="8" spans="1:2">
      <c r="A8" s="61" t="s">
        <v>592</v>
      </c>
      <c r="B8" s="62" t="s">
        <v>978</v>
      </c>
    </row>
  </sheetData>
  <phoneticPr fontId="3"/>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AB945-3E64-8F48-80C0-FF0D55C23C11}">
  <dimension ref="A1:G14"/>
  <sheetViews>
    <sheetView workbookViewId="0">
      <selection sqref="A1:G1"/>
    </sheetView>
  </sheetViews>
  <sheetFormatPr baseColWidth="10" defaultRowHeight="20"/>
  <cols>
    <col min="1" max="7" width="12.85546875" customWidth="1"/>
  </cols>
  <sheetData>
    <row r="1" spans="1:7" ht="24">
      <c r="A1" s="46" t="s">
        <v>979</v>
      </c>
      <c r="B1" s="45"/>
      <c r="C1" s="45"/>
      <c r="D1" s="45"/>
      <c r="E1" s="45"/>
      <c r="F1" s="45"/>
      <c r="G1" s="45"/>
    </row>
    <row r="2" spans="1:7" ht="100" customHeight="1">
      <c r="A2" s="47" t="s">
        <v>980</v>
      </c>
      <c r="B2" s="45"/>
      <c r="C2" s="45"/>
      <c r="D2" s="45"/>
      <c r="E2" s="45"/>
      <c r="F2" s="45"/>
      <c r="G2" s="45"/>
    </row>
    <row r="3" spans="1:7">
      <c r="A3" s="45"/>
      <c r="B3" s="45"/>
      <c r="C3" s="45"/>
      <c r="D3" s="45"/>
      <c r="E3" s="45"/>
      <c r="F3" s="45"/>
      <c r="G3" s="45"/>
    </row>
    <row r="4" spans="1:7">
      <c r="A4" s="33" t="s">
        <v>548</v>
      </c>
      <c r="B4" s="33" t="s">
        <v>692</v>
      </c>
      <c r="C4" s="33" t="s">
        <v>693</v>
      </c>
      <c r="D4" s="33" t="s">
        <v>694</v>
      </c>
      <c r="E4" s="33" t="s">
        <v>981</v>
      </c>
      <c r="F4" s="33" t="s">
        <v>982</v>
      </c>
      <c r="G4" s="33" t="s">
        <v>983</v>
      </c>
    </row>
    <row r="5" spans="1:7">
      <c r="A5" t="s">
        <v>696</v>
      </c>
      <c r="B5">
        <v>85</v>
      </c>
      <c r="C5">
        <v>72</v>
      </c>
      <c r="D5">
        <v>90</v>
      </c>
    </row>
    <row r="6" spans="1:7">
      <c r="A6" t="s">
        <v>697</v>
      </c>
      <c r="B6">
        <v>92</v>
      </c>
      <c r="C6">
        <v>88</v>
      </c>
      <c r="D6">
        <v>76</v>
      </c>
    </row>
    <row r="7" spans="1:7">
      <c r="A7" t="s">
        <v>698</v>
      </c>
      <c r="B7">
        <v>65</v>
      </c>
      <c r="C7">
        <v>55</v>
      </c>
      <c r="D7">
        <v>70</v>
      </c>
    </row>
    <row r="8" spans="1:7">
      <c r="A8" t="s">
        <v>699</v>
      </c>
      <c r="B8">
        <v>78</v>
      </c>
      <c r="C8">
        <v>82</v>
      </c>
      <c r="D8">
        <v>85</v>
      </c>
    </row>
    <row r="9" spans="1:7">
      <c r="A9" t="s">
        <v>700</v>
      </c>
      <c r="B9">
        <v>88</v>
      </c>
      <c r="C9">
        <v>45</v>
      </c>
      <c r="D9">
        <v>92</v>
      </c>
    </row>
    <row r="10" spans="1:7">
      <c r="A10" t="s">
        <v>701</v>
      </c>
      <c r="B10">
        <v>55</v>
      </c>
      <c r="C10">
        <v>68</v>
      </c>
      <c r="D10">
        <v>60</v>
      </c>
    </row>
    <row r="11" spans="1:7">
      <c r="A11" t="s">
        <v>702</v>
      </c>
      <c r="B11">
        <v>95</v>
      </c>
      <c r="C11">
        <v>90</v>
      </c>
      <c r="D11">
        <v>88</v>
      </c>
    </row>
    <row r="12" spans="1:7">
      <c r="A12" t="s">
        <v>703</v>
      </c>
      <c r="B12">
        <v>70</v>
      </c>
      <c r="C12">
        <v>58</v>
      </c>
      <c r="D12">
        <v>65</v>
      </c>
    </row>
    <row r="13" spans="1:7">
      <c r="A13" t="s">
        <v>704</v>
      </c>
      <c r="B13">
        <v>82</v>
      </c>
      <c r="C13">
        <v>75</v>
      </c>
      <c r="D13">
        <v>80</v>
      </c>
    </row>
    <row r="14" spans="1:7">
      <c r="A14" t="s">
        <v>705</v>
      </c>
      <c r="B14">
        <v>60</v>
      </c>
      <c r="C14">
        <v>42</v>
      </c>
      <c r="D14">
        <v>55</v>
      </c>
    </row>
  </sheetData>
  <mergeCells count="2">
    <mergeCell ref="A1:G1"/>
    <mergeCell ref="A2:G3"/>
  </mergeCells>
  <phoneticPr fontId="3"/>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A8C67-4E0D-4C42-8D25-E600F08BE522}">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984</v>
      </c>
    </row>
    <row r="3" spans="1:2">
      <c r="A3" s="30" t="s">
        <v>1</v>
      </c>
      <c r="B3" s="42" t="s">
        <v>135</v>
      </c>
    </row>
    <row r="4" spans="1:2">
      <c r="A4" s="30" t="s">
        <v>2</v>
      </c>
      <c r="B4" s="42" t="s">
        <v>985</v>
      </c>
    </row>
    <row r="5" spans="1:2">
      <c r="A5" s="30" t="s">
        <v>253</v>
      </c>
      <c r="B5" s="42" t="s">
        <v>986</v>
      </c>
    </row>
    <row r="6" spans="1:2" ht="80" customHeight="1">
      <c r="A6" s="57" t="s">
        <v>288</v>
      </c>
      <c r="B6" s="58" t="s">
        <v>987</v>
      </c>
    </row>
    <row r="7" spans="1:2" ht="80" customHeight="1">
      <c r="A7" s="59" t="s">
        <v>590</v>
      </c>
      <c r="B7" s="64" t="s">
        <v>988</v>
      </c>
    </row>
    <row r="8" spans="1:2">
      <c r="A8" s="61" t="s">
        <v>688</v>
      </c>
      <c r="B8" s="62" t="s">
        <v>989</v>
      </c>
    </row>
  </sheetData>
  <phoneticPr fontId="3"/>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BEDE-4D4A-BD4F-B804-EE99963A3CA0}">
  <dimension ref="A1:F14"/>
  <sheetViews>
    <sheetView workbookViewId="0">
      <selection sqref="A1:F1"/>
    </sheetView>
  </sheetViews>
  <sheetFormatPr baseColWidth="10" defaultRowHeight="20"/>
  <cols>
    <col min="1" max="6" width="14.28515625" customWidth="1"/>
  </cols>
  <sheetData>
    <row r="1" spans="1:6" ht="24">
      <c r="A1" s="46" t="s">
        <v>990</v>
      </c>
      <c r="B1" s="45"/>
      <c r="C1" s="45"/>
      <c r="D1" s="45"/>
      <c r="E1" s="45"/>
      <c r="F1" s="45"/>
    </row>
    <row r="2" spans="1:6" ht="80" customHeight="1">
      <c r="A2" s="47" t="s">
        <v>991</v>
      </c>
      <c r="B2" s="45"/>
      <c r="C2" s="45"/>
      <c r="D2" s="45"/>
      <c r="E2" s="45"/>
      <c r="F2" s="45"/>
    </row>
    <row r="3" spans="1:6">
      <c r="A3" s="45"/>
      <c r="B3" s="45"/>
      <c r="C3" s="45"/>
      <c r="D3" s="45"/>
      <c r="E3" s="45"/>
      <c r="F3" s="45"/>
    </row>
    <row r="4" spans="1:6">
      <c r="A4" s="33" t="s">
        <v>864</v>
      </c>
      <c r="B4" s="33" t="s">
        <v>549</v>
      </c>
      <c r="C4" s="33" t="s">
        <v>654</v>
      </c>
      <c r="D4" s="33" t="s">
        <v>655</v>
      </c>
      <c r="E4" s="71" t="s">
        <v>992</v>
      </c>
      <c r="F4" s="33" t="s">
        <v>994</v>
      </c>
    </row>
    <row r="5" spans="1:6">
      <c r="A5" t="s">
        <v>556</v>
      </c>
      <c r="E5" s="83" t="s">
        <v>865</v>
      </c>
      <c r="F5" s="84" t="s">
        <v>995</v>
      </c>
    </row>
    <row r="6" spans="1:6">
      <c r="A6" t="s">
        <v>559</v>
      </c>
      <c r="E6" s="83" t="s">
        <v>866</v>
      </c>
    </row>
    <row r="7" spans="1:6">
      <c r="A7" t="s">
        <v>561</v>
      </c>
      <c r="E7" s="83" t="s">
        <v>867</v>
      </c>
    </row>
    <row r="8" spans="1:6">
      <c r="A8" t="s">
        <v>564</v>
      </c>
      <c r="E8" s="83" t="s">
        <v>993</v>
      </c>
    </row>
    <row r="9" spans="1:6">
      <c r="A9" t="s">
        <v>566</v>
      </c>
    </row>
    <row r="10" spans="1:6">
      <c r="A10" t="s">
        <v>569</v>
      </c>
    </row>
    <row r="11" spans="1:6">
      <c r="A11" t="s">
        <v>571</v>
      </c>
    </row>
    <row r="12" spans="1:6">
      <c r="A12" t="s">
        <v>573</v>
      </c>
    </row>
    <row r="13" spans="1:6">
      <c r="A13" t="s">
        <v>575</v>
      </c>
    </row>
    <row r="14" spans="1:6">
      <c r="A14" t="s">
        <v>577</v>
      </c>
    </row>
  </sheetData>
  <mergeCells count="2">
    <mergeCell ref="A1:F1"/>
    <mergeCell ref="A2:F3"/>
  </mergeCells>
  <phoneticPr fontId="3"/>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F2C0-A408-904B-8D0D-451F9DDBEB35}">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996</v>
      </c>
    </row>
    <row r="3" spans="1:2">
      <c r="A3" s="30" t="s">
        <v>1</v>
      </c>
      <c r="B3" s="42" t="s">
        <v>45</v>
      </c>
    </row>
    <row r="4" spans="1:2">
      <c r="A4" s="30" t="s">
        <v>2</v>
      </c>
      <c r="B4" s="42" t="s">
        <v>997</v>
      </c>
    </row>
    <row r="5" spans="1:2">
      <c r="A5" s="30" t="s">
        <v>253</v>
      </c>
      <c r="B5" s="42" t="s">
        <v>998</v>
      </c>
    </row>
    <row r="6" spans="1:2" ht="80" customHeight="1">
      <c r="A6" s="57" t="s">
        <v>288</v>
      </c>
      <c r="B6" s="58" t="s">
        <v>999</v>
      </c>
    </row>
    <row r="7" spans="1:2" ht="100" customHeight="1">
      <c r="A7" s="59" t="s">
        <v>590</v>
      </c>
      <c r="B7" s="64" t="s">
        <v>1000</v>
      </c>
    </row>
    <row r="8" spans="1:2">
      <c r="A8" s="61" t="s">
        <v>592</v>
      </c>
      <c r="B8" s="62" t="s">
        <v>1001</v>
      </c>
    </row>
  </sheetData>
  <phoneticPr fontId="3"/>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D93E-5646-2C47-AAD4-6984469DD4AE}">
  <dimension ref="A1:F11"/>
  <sheetViews>
    <sheetView workbookViewId="0">
      <selection sqref="A1:F1"/>
    </sheetView>
  </sheetViews>
  <sheetFormatPr baseColWidth="10" defaultRowHeight="20"/>
  <cols>
    <col min="1" max="6" width="12.140625" customWidth="1"/>
  </cols>
  <sheetData>
    <row r="1" spans="1:6" ht="24">
      <c r="A1" s="46" t="s">
        <v>1002</v>
      </c>
      <c r="B1" s="45"/>
      <c r="C1" s="45"/>
      <c r="D1" s="45"/>
      <c r="E1" s="45"/>
      <c r="F1" s="45"/>
    </row>
    <row r="2" spans="1:6" ht="85" customHeight="1">
      <c r="A2" s="47" t="s">
        <v>1003</v>
      </c>
      <c r="B2" s="45"/>
      <c r="C2" s="45"/>
      <c r="D2" s="45"/>
      <c r="E2" s="45"/>
      <c r="F2" s="45"/>
    </row>
    <row r="3" spans="1:6">
      <c r="A3" s="45"/>
      <c r="B3" s="45"/>
      <c r="C3" s="45"/>
      <c r="D3" s="45"/>
      <c r="E3" s="45"/>
      <c r="F3" s="45"/>
    </row>
    <row r="6" spans="1:6">
      <c r="A6" s="33" t="s">
        <v>712</v>
      </c>
      <c r="B6" s="33" t="s">
        <v>931</v>
      </c>
      <c r="C6" s="33" t="s">
        <v>1005</v>
      </c>
      <c r="D6" s="33" t="s">
        <v>1006</v>
      </c>
      <c r="E6" s="33" t="s">
        <v>1007</v>
      </c>
      <c r="F6" s="33" t="s">
        <v>1008</v>
      </c>
    </row>
    <row r="7" spans="1:6">
      <c r="A7" s="85" t="s">
        <v>1004</v>
      </c>
      <c r="B7" s="48">
        <v>3500000</v>
      </c>
      <c r="C7" s="48">
        <v>1200000</v>
      </c>
      <c r="E7" t="s">
        <v>740</v>
      </c>
    </row>
    <row r="8" spans="1:6">
      <c r="A8" s="45"/>
      <c r="B8" s="48">
        <v>4200000</v>
      </c>
      <c r="C8" s="48">
        <v>1350000</v>
      </c>
      <c r="E8" t="s">
        <v>741</v>
      </c>
    </row>
    <row r="9" spans="1:6">
      <c r="A9" s="45"/>
      <c r="B9" s="48">
        <v>3800000</v>
      </c>
      <c r="C9" s="48">
        <v>1100000</v>
      </c>
      <c r="E9" t="s">
        <v>789</v>
      </c>
    </row>
    <row r="11" spans="1:6">
      <c r="A11" s="84" t="s">
        <v>1009</v>
      </c>
    </row>
  </sheetData>
  <mergeCells count="3">
    <mergeCell ref="A1:F1"/>
    <mergeCell ref="A2:F3"/>
    <mergeCell ref="A7:A9"/>
  </mergeCells>
  <phoneticPr fontId="3"/>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9BCD-6572-B146-AF24-13289DC6F716}">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1010</v>
      </c>
    </row>
    <row r="3" spans="1:2">
      <c r="A3" s="30" t="s">
        <v>1</v>
      </c>
      <c r="B3" s="42" t="s">
        <v>45</v>
      </c>
    </row>
    <row r="4" spans="1:2">
      <c r="A4" s="30" t="s">
        <v>2</v>
      </c>
      <c r="B4" s="42" t="s">
        <v>86</v>
      </c>
    </row>
    <row r="5" spans="1:2">
      <c r="A5" s="30" t="s">
        <v>253</v>
      </c>
      <c r="B5" s="42" t="s">
        <v>1011</v>
      </c>
    </row>
    <row r="6" spans="1:2" ht="80" customHeight="1">
      <c r="A6" s="57" t="s">
        <v>288</v>
      </c>
      <c r="B6" s="58" t="s">
        <v>1012</v>
      </c>
    </row>
    <row r="7" spans="1:2" ht="80" customHeight="1">
      <c r="A7" s="59" t="s">
        <v>590</v>
      </c>
      <c r="B7" s="64" t="s">
        <v>1013</v>
      </c>
    </row>
    <row r="8" spans="1:2">
      <c r="A8" s="61" t="s">
        <v>592</v>
      </c>
      <c r="B8" s="62" t="s">
        <v>1014</v>
      </c>
    </row>
  </sheetData>
  <phoneticPr fontId="3"/>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D0ED-E408-354C-B58E-8132BD73FB7B}">
  <dimension ref="A1:E7"/>
  <sheetViews>
    <sheetView workbookViewId="0">
      <selection sqref="A1:F1"/>
    </sheetView>
  </sheetViews>
  <sheetFormatPr baseColWidth="10" defaultRowHeight="20"/>
  <cols>
    <col min="1" max="5" width="12.85546875" customWidth="1"/>
  </cols>
  <sheetData>
    <row r="1" spans="1:5" ht="24">
      <c r="A1" s="46" t="s">
        <v>1015</v>
      </c>
      <c r="B1" s="45"/>
      <c r="C1" s="45"/>
      <c r="D1" s="45"/>
      <c r="E1" s="45"/>
    </row>
    <row r="2" spans="1:5" ht="80" customHeight="1">
      <c r="A2" s="47" t="s">
        <v>1016</v>
      </c>
      <c r="B2" s="45"/>
      <c r="C2" s="45"/>
      <c r="D2" s="45"/>
      <c r="E2" s="45"/>
    </row>
    <row r="3" spans="1:5">
      <c r="A3" s="45"/>
      <c r="B3" s="45"/>
      <c r="C3" s="45"/>
      <c r="D3" s="45"/>
      <c r="E3" s="45"/>
    </row>
    <row r="4" spans="1:5">
      <c r="A4" s="33" t="s">
        <v>548</v>
      </c>
      <c r="B4" s="33" t="s">
        <v>692</v>
      </c>
      <c r="C4" s="33" t="s">
        <v>693</v>
      </c>
      <c r="D4" s="33" t="s">
        <v>694</v>
      </c>
      <c r="E4" s="33" t="s">
        <v>695</v>
      </c>
    </row>
    <row r="5" spans="1:5">
      <c r="A5" t="s">
        <v>556</v>
      </c>
      <c r="B5">
        <v>85</v>
      </c>
      <c r="C5">
        <v>72</v>
      </c>
      <c r="D5">
        <v>90</v>
      </c>
      <c r="E5">
        <v>68</v>
      </c>
    </row>
    <row r="6" spans="1:5">
      <c r="A6" t="s">
        <v>559</v>
      </c>
      <c r="B6">
        <v>78</v>
      </c>
      <c r="C6">
        <v>88</v>
      </c>
      <c r="D6">
        <v>65</v>
      </c>
      <c r="E6">
        <v>92</v>
      </c>
    </row>
    <row r="7" spans="1:5">
      <c r="A7" t="s">
        <v>561</v>
      </c>
      <c r="B7">
        <v>92</v>
      </c>
      <c r="C7">
        <v>65</v>
      </c>
      <c r="D7">
        <v>80</v>
      </c>
      <c r="E7">
        <v>75</v>
      </c>
    </row>
  </sheetData>
  <mergeCells count="2">
    <mergeCell ref="A1:E1"/>
    <mergeCell ref="A2:E3"/>
  </mergeCells>
  <phoneticPr fontId="3"/>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6712-7501-D049-8E16-7968FFE66415}">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1017</v>
      </c>
    </row>
    <row r="3" spans="1:2">
      <c r="A3" s="30" t="s">
        <v>1</v>
      </c>
      <c r="B3" s="42" t="s">
        <v>166</v>
      </c>
    </row>
    <row r="4" spans="1:2">
      <c r="A4" s="30" t="s">
        <v>2</v>
      </c>
      <c r="B4" s="42" t="s">
        <v>1018</v>
      </c>
    </row>
    <row r="5" spans="1:2">
      <c r="A5" s="30" t="s">
        <v>253</v>
      </c>
      <c r="B5" s="42" t="s">
        <v>1019</v>
      </c>
    </row>
    <row r="6" spans="1:2" ht="80" customHeight="1">
      <c r="A6" s="57" t="s">
        <v>288</v>
      </c>
      <c r="B6" s="58" t="s">
        <v>1020</v>
      </c>
    </row>
    <row r="7" spans="1:2" ht="80" customHeight="1">
      <c r="A7" s="59" t="s">
        <v>590</v>
      </c>
      <c r="B7" s="64" t="s">
        <v>1021</v>
      </c>
    </row>
    <row r="8" spans="1:2">
      <c r="A8" s="61" t="s">
        <v>592</v>
      </c>
      <c r="B8" s="62" t="s">
        <v>1022</v>
      </c>
    </row>
  </sheetData>
  <phoneticPr fontId="3"/>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57F80-527B-8943-8996-1FFBE26F1569}">
  <dimension ref="A1:F24"/>
  <sheetViews>
    <sheetView workbookViewId="0">
      <selection sqref="A1:F1"/>
    </sheetView>
  </sheetViews>
  <sheetFormatPr baseColWidth="10" defaultRowHeight="20"/>
  <cols>
    <col min="1" max="6" width="12.85546875" customWidth="1"/>
  </cols>
  <sheetData>
    <row r="1" spans="1:6" ht="24">
      <c r="A1" s="46" t="s">
        <v>1023</v>
      </c>
      <c r="B1" s="45"/>
      <c r="C1" s="45"/>
      <c r="D1" s="45"/>
      <c r="E1" s="45"/>
      <c r="F1" s="45"/>
    </row>
    <row r="2" spans="1:6" ht="85" customHeight="1">
      <c r="A2" s="47" t="s">
        <v>1024</v>
      </c>
      <c r="B2" s="45"/>
      <c r="C2" s="45"/>
      <c r="D2" s="45"/>
      <c r="E2" s="45"/>
      <c r="F2" s="45"/>
    </row>
    <row r="3" spans="1:6">
      <c r="A3" s="45"/>
      <c r="B3" s="45"/>
      <c r="C3" s="45"/>
      <c r="D3" s="45"/>
      <c r="E3" s="45"/>
      <c r="F3" s="45"/>
    </row>
    <row r="4" spans="1:6">
      <c r="A4" s="33" t="s">
        <v>750</v>
      </c>
      <c r="B4" s="33" t="s">
        <v>654</v>
      </c>
      <c r="C4" s="33" t="s">
        <v>598</v>
      </c>
      <c r="D4" s="33" t="s">
        <v>597</v>
      </c>
      <c r="E4" s="33" t="s">
        <v>655</v>
      </c>
    </row>
    <row r="5" spans="1:6">
      <c r="A5" t="s">
        <v>752</v>
      </c>
      <c r="B5" t="s">
        <v>660</v>
      </c>
      <c r="C5" t="s">
        <v>604</v>
      </c>
      <c r="D5" t="s">
        <v>754</v>
      </c>
      <c r="E5" s="48">
        <v>7500</v>
      </c>
    </row>
    <row r="6" spans="1:6">
      <c r="A6" t="s">
        <v>755</v>
      </c>
      <c r="B6" t="s">
        <v>662</v>
      </c>
      <c r="C6" t="s">
        <v>609</v>
      </c>
      <c r="D6" t="s">
        <v>759</v>
      </c>
      <c r="E6" s="48">
        <v>9800</v>
      </c>
    </row>
    <row r="7" spans="1:6">
      <c r="A7" t="s">
        <v>757</v>
      </c>
      <c r="B7" t="s">
        <v>660</v>
      </c>
      <c r="C7" t="s">
        <v>604</v>
      </c>
      <c r="D7" t="s">
        <v>736</v>
      </c>
      <c r="E7" s="48">
        <v>8400</v>
      </c>
    </row>
    <row r="8" spans="1:6">
      <c r="A8" t="s">
        <v>760</v>
      </c>
      <c r="B8" t="s">
        <v>664</v>
      </c>
      <c r="C8" t="s">
        <v>1025</v>
      </c>
      <c r="D8" t="s">
        <v>1026</v>
      </c>
      <c r="E8" s="48">
        <v>3200</v>
      </c>
    </row>
    <row r="9" spans="1:6">
      <c r="A9" t="s">
        <v>762</v>
      </c>
      <c r="B9" t="s">
        <v>660</v>
      </c>
      <c r="C9" t="s">
        <v>609</v>
      </c>
      <c r="D9" t="s">
        <v>919</v>
      </c>
      <c r="E9" s="48">
        <v>2500</v>
      </c>
    </row>
    <row r="10" spans="1:6">
      <c r="A10" t="s">
        <v>764</v>
      </c>
      <c r="B10" t="s">
        <v>666</v>
      </c>
      <c r="C10" t="s">
        <v>604</v>
      </c>
      <c r="D10" t="s">
        <v>611</v>
      </c>
      <c r="E10" s="48">
        <v>12000</v>
      </c>
    </row>
    <row r="11" spans="1:6">
      <c r="A11" t="s">
        <v>765</v>
      </c>
      <c r="B11" t="s">
        <v>662</v>
      </c>
      <c r="C11" t="s">
        <v>1025</v>
      </c>
      <c r="D11" t="s">
        <v>645</v>
      </c>
      <c r="E11" s="48">
        <v>4800</v>
      </c>
    </row>
    <row r="12" spans="1:6">
      <c r="A12" t="s">
        <v>767</v>
      </c>
      <c r="B12" t="s">
        <v>660</v>
      </c>
      <c r="C12" t="s">
        <v>604</v>
      </c>
      <c r="D12" t="s">
        <v>617</v>
      </c>
      <c r="E12" s="48">
        <v>5250</v>
      </c>
    </row>
    <row r="13" spans="1:6">
      <c r="A13" t="s">
        <v>769</v>
      </c>
      <c r="B13" t="s">
        <v>664</v>
      </c>
      <c r="C13" t="s">
        <v>609</v>
      </c>
      <c r="D13" t="s">
        <v>619</v>
      </c>
      <c r="E13" s="48">
        <v>6000</v>
      </c>
    </row>
    <row r="14" spans="1:6">
      <c r="A14" t="s">
        <v>770</v>
      </c>
      <c r="B14" t="s">
        <v>662</v>
      </c>
      <c r="C14" t="s">
        <v>604</v>
      </c>
      <c r="D14" t="s">
        <v>621</v>
      </c>
      <c r="E14" s="48">
        <v>8800</v>
      </c>
    </row>
    <row r="15" spans="1:6">
      <c r="A15" t="s">
        <v>771</v>
      </c>
      <c r="B15" t="s">
        <v>660</v>
      </c>
      <c r="C15" t="s">
        <v>609</v>
      </c>
      <c r="D15" t="s">
        <v>768</v>
      </c>
      <c r="E15" s="48">
        <v>12000</v>
      </c>
    </row>
    <row r="16" spans="1:6">
      <c r="A16" t="s">
        <v>772</v>
      </c>
      <c r="B16" t="s">
        <v>666</v>
      </c>
      <c r="C16" t="s">
        <v>1025</v>
      </c>
      <c r="D16" t="s">
        <v>1027</v>
      </c>
      <c r="E16" s="48">
        <v>15000</v>
      </c>
    </row>
    <row r="17" spans="1:5">
      <c r="A17" t="s">
        <v>773</v>
      </c>
      <c r="B17" t="s">
        <v>664</v>
      </c>
      <c r="C17" t="s">
        <v>604</v>
      </c>
      <c r="D17" t="s">
        <v>635</v>
      </c>
      <c r="E17" s="48">
        <v>10500</v>
      </c>
    </row>
    <row r="18" spans="1:5">
      <c r="A18" t="s">
        <v>774</v>
      </c>
      <c r="B18" t="s">
        <v>660</v>
      </c>
      <c r="C18" t="s">
        <v>1025</v>
      </c>
      <c r="D18" t="s">
        <v>1028</v>
      </c>
      <c r="E18" s="48">
        <v>25000</v>
      </c>
    </row>
    <row r="19" spans="1:5">
      <c r="A19" t="s">
        <v>775</v>
      </c>
      <c r="B19" t="s">
        <v>662</v>
      </c>
      <c r="C19" t="s">
        <v>609</v>
      </c>
      <c r="D19" t="s">
        <v>633</v>
      </c>
      <c r="E19" s="48">
        <v>7800</v>
      </c>
    </row>
    <row r="20" spans="1:5">
      <c r="A20" t="s">
        <v>1029</v>
      </c>
      <c r="B20" t="s">
        <v>666</v>
      </c>
      <c r="C20" t="s">
        <v>604</v>
      </c>
      <c r="D20" t="s">
        <v>1030</v>
      </c>
      <c r="E20" s="48">
        <v>3600</v>
      </c>
    </row>
    <row r="21" spans="1:5">
      <c r="A21" t="s">
        <v>1031</v>
      </c>
      <c r="B21" t="s">
        <v>660</v>
      </c>
      <c r="C21" t="s">
        <v>604</v>
      </c>
      <c r="D21" t="s">
        <v>1032</v>
      </c>
      <c r="E21" s="48">
        <v>7600</v>
      </c>
    </row>
    <row r="22" spans="1:5">
      <c r="A22" t="s">
        <v>1033</v>
      </c>
      <c r="B22" t="s">
        <v>664</v>
      </c>
      <c r="C22" t="s">
        <v>609</v>
      </c>
      <c r="D22" t="s">
        <v>1034</v>
      </c>
      <c r="E22" s="48">
        <v>4500</v>
      </c>
    </row>
    <row r="23" spans="1:5">
      <c r="A23" t="s">
        <v>1035</v>
      </c>
      <c r="B23" t="s">
        <v>662</v>
      </c>
      <c r="C23" t="s">
        <v>1025</v>
      </c>
      <c r="D23" t="s">
        <v>1036</v>
      </c>
      <c r="E23" s="48">
        <v>8500</v>
      </c>
    </row>
    <row r="24" spans="1:5">
      <c r="A24" t="s">
        <v>1037</v>
      </c>
      <c r="B24" t="s">
        <v>660</v>
      </c>
      <c r="C24" t="s">
        <v>609</v>
      </c>
      <c r="D24" t="s">
        <v>1038</v>
      </c>
      <c r="E24" s="48">
        <v>5800</v>
      </c>
    </row>
  </sheetData>
  <mergeCells count="2">
    <mergeCell ref="A1:F1"/>
    <mergeCell ref="A2:F3"/>
  </mergeCells>
  <phoneticPr fontId="3"/>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2CFE-F1D5-A446-9B38-E508F6517BA9}">
  <dimension ref="A1:B8"/>
  <sheetViews>
    <sheetView workbookViewId="0"/>
  </sheetViews>
  <sheetFormatPr baseColWidth="10" defaultRowHeight="20"/>
  <cols>
    <col min="1" max="1" width="14.28515625" customWidth="1"/>
    <col min="2" max="2" width="57.140625" customWidth="1"/>
  </cols>
  <sheetData>
    <row r="1" spans="1:2">
      <c r="A1" s="33" t="s">
        <v>286</v>
      </c>
      <c r="B1" s="33" t="s">
        <v>287</v>
      </c>
    </row>
    <row r="2" spans="1:2">
      <c r="A2" s="30" t="s">
        <v>189</v>
      </c>
      <c r="B2" s="42" t="s">
        <v>1039</v>
      </c>
    </row>
    <row r="3" spans="1:2">
      <c r="A3" s="30" t="s">
        <v>1</v>
      </c>
      <c r="B3" s="42" t="s">
        <v>1040</v>
      </c>
    </row>
    <row r="4" spans="1:2">
      <c r="A4" s="30" t="s">
        <v>2</v>
      </c>
      <c r="B4" s="42" t="s">
        <v>1041</v>
      </c>
    </row>
    <row r="5" spans="1:2">
      <c r="A5" s="30" t="s">
        <v>253</v>
      </c>
      <c r="B5" s="42" t="s">
        <v>1042</v>
      </c>
    </row>
    <row r="6" spans="1:2" ht="120" customHeight="1">
      <c r="A6" s="57" t="s">
        <v>288</v>
      </c>
      <c r="B6" s="58" t="s">
        <v>1043</v>
      </c>
    </row>
    <row r="7" spans="1:2" ht="80" customHeight="1">
      <c r="A7" s="59" t="s">
        <v>590</v>
      </c>
      <c r="B7" s="64" t="s">
        <v>1044</v>
      </c>
    </row>
    <row r="8" spans="1:2">
      <c r="A8" s="61" t="s">
        <v>592</v>
      </c>
      <c r="B8" s="62" t="s">
        <v>1045</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175</vt:i4>
      </vt:variant>
    </vt:vector>
  </HeadingPairs>
  <TitlesOfParts>
    <vt:vector size="175" baseType="lpstr">
      <vt:lpstr>MOS Excel 365 練習問題</vt:lpstr>
      <vt:lpstr>回答一覧</vt:lpstr>
      <vt:lpstr>Q01</vt:lpstr>
      <vt:lpstr>A01</vt:lpstr>
      <vt:lpstr>Q02</vt:lpstr>
      <vt:lpstr>A02</vt:lpstr>
      <vt:lpstr>Q03</vt:lpstr>
      <vt:lpstr>A03</vt:lpstr>
      <vt:lpstr>Q04</vt:lpstr>
      <vt:lpstr>A04</vt:lpstr>
      <vt:lpstr>Q05</vt:lpstr>
      <vt:lpstr>A05</vt:lpstr>
      <vt:lpstr>Q06</vt:lpstr>
      <vt:lpstr>A06</vt:lpstr>
      <vt:lpstr>Q07</vt:lpstr>
      <vt:lpstr>A07</vt:lpstr>
      <vt:lpstr>Q08</vt:lpstr>
      <vt:lpstr>A08</vt:lpstr>
      <vt:lpstr>Q09</vt:lpstr>
      <vt:lpstr>A09</vt:lpstr>
      <vt:lpstr>Q10</vt:lpstr>
      <vt:lpstr>A10</vt:lpstr>
      <vt:lpstr>Q11</vt:lpstr>
      <vt:lpstr>A11</vt:lpstr>
      <vt:lpstr>Q12</vt:lpstr>
      <vt:lpstr>A12</vt:lpstr>
      <vt:lpstr>Q13</vt:lpstr>
      <vt:lpstr>A13</vt:lpstr>
      <vt:lpstr>Q14</vt:lpstr>
      <vt:lpstr>A14</vt:lpstr>
      <vt:lpstr>Q15</vt:lpstr>
      <vt:lpstr>A15</vt:lpstr>
      <vt:lpstr>Q16</vt:lpstr>
      <vt:lpstr>A16</vt:lpstr>
      <vt:lpstr>Q17</vt:lpstr>
      <vt:lpstr>A17</vt:lpstr>
      <vt:lpstr>Q18</vt:lpstr>
      <vt:lpstr>A18</vt:lpstr>
      <vt:lpstr>Q19</vt:lpstr>
      <vt:lpstr>A19</vt:lpstr>
      <vt:lpstr>Q20</vt:lpstr>
      <vt:lpstr>A20</vt:lpstr>
      <vt:lpstr>Q21</vt:lpstr>
      <vt:lpstr>A21</vt:lpstr>
      <vt:lpstr>Q22</vt:lpstr>
      <vt:lpstr>A22</vt:lpstr>
      <vt:lpstr>Q23</vt:lpstr>
      <vt:lpstr>A23</vt:lpstr>
      <vt:lpstr>Q24</vt:lpstr>
      <vt:lpstr>A24</vt:lpstr>
      <vt:lpstr>Q25</vt:lpstr>
      <vt:lpstr>A25</vt:lpstr>
      <vt:lpstr>Q26</vt:lpstr>
      <vt:lpstr>A26</vt:lpstr>
      <vt:lpstr>Q27</vt:lpstr>
      <vt:lpstr>A27</vt:lpstr>
      <vt:lpstr>Q28</vt:lpstr>
      <vt:lpstr>A28</vt:lpstr>
      <vt:lpstr>Q29</vt:lpstr>
      <vt:lpstr>A29</vt:lpstr>
      <vt:lpstr>Q30</vt:lpstr>
      <vt:lpstr>A30</vt:lpstr>
      <vt:lpstr>Q31</vt:lpstr>
      <vt:lpstr>A31</vt:lpstr>
      <vt:lpstr>Q32</vt:lpstr>
      <vt:lpstr>A32</vt:lpstr>
      <vt:lpstr>Q33</vt:lpstr>
      <vt:lpstr>A33</vt:lpstr>
      <vt:lpstr>Q34</vt:lpstr>
      <vt:lpstr>A34</vt:lpstr>
      <vt:lpstr>Q35</vt:lpstr>
      <vt:lpstr>A35</vt:lpstr>
      <vt:lpstr>Q36</vt:lpstr>
      <vt:lpstr>A36</vt:lpstr>
      <vt:lpstr>Q37</vt:lpstr>
      <vt:lpstr>A37</vt:lpstr>
      <vt:lpstr>Q38</vt:lpstr>
      <vt:lpstr>A38</vt:lpstr>
      <vt:lpstr>Q39</vt:lpstr>
      <vt:lpstr>A39</vt:lpstr>
      <vt:lpstr>Q40</vt:lpstr>
      <vt:lpstr>A40</vt:lpstr>
      <vt:lpstr>Q41</vt:lpstr>
      <vt:lpstr>A41</vt:lpstr>
      <vt:lpstr>Q42</vt:lpstr>
      <vt:lpstr>A42</vt:lpstr>
      <vt:lpstr>Q43</vt:lpstr>
      <vt:lpstr>A43</vt:lpstr>
      <vt:lpstr>Q44</vt:lpstr>
      <vt:lpstr>A44</vt:lpstr>
      <vt:lpstr>Q45</vt:lpstr>
      <vt:lpstr>A45</vt:lpstr>
      <vt:lpstr>Q46</vt:lpstr>
      <vt:lpstr>A46</vt:lpstr>
      <vt:lpstr>Q47</vt:lpstr>
      <vt:lpstr>A47</vt:lpstr>
      <vt:lpstr>Q48</vt:lpstr>
      <vt:lpstr>A48</vt:lpstr>
      <vt:lpstr>Q49</vt:lpstr>
      <vt:lpstr>A49</vt:lpstr>
      <vt:lpstr>Q50</vt:lpstr>
      <vt:lpstr>A50</vt:lpstr>
      <vt:lpstr>Q51</vt:lpstr>
      <vt:lpstr>A51</vt:lpstr>
      <vt:lpstr>Q52</vt:lpstr>
      <vt:lpstr>A52</vt:lpstr>
      <vt:lpstr>Q53</vt:lpstr>
      <vt:lpstr>A53</vt:lpstr>
      <vt:lpstr>Q54</vt:lpstr>
      <vt:lpstr>A54</vt:lpstr>
      <vt:lpstr>Q55</vt:lpstr>
      <vt:lpstr>A55</vt:lpstr>
      <vt:lpstr>Q56</vt:lpstr>
      <vt:lpstr>A56</vt:lpstr>
      <vt:lpstr>Q57</vt:lpstr>
      <vt:lpstr>A57</vt:lpstr>
      <vt:lpstr>Q58</vt:lpstr>
      <vt:lpstr>A58</vt:lpstr>
      <vt:lpstr>Q59</vt:lpstr>
      <vt:lpstr>A59</vt:lpstr>
      <vt:lpstr>Q60</vt:lpstr>
      <vt:lpstr>A60</vt:lpstr>
      <vt:lpstr>実技問題一覧</vt:lpstr>
      <vt:lpstr>P01</vt:lpstr>
      <vt:lpstr>PA01</vt:lpstr>
      <vt:lpstr>P02</vt:lpstr>
      <vt:lpstr>PA02</vt:lpstr>
      <vt:lpstr>P03</vt:lpstr>
      <vt:lpstr>PA03</vt:lpstr>
      <vt:lpstr>P04</vt:lpstr>
      <vt:lpstr>PA04</vt:lpstr>
      <vt:lpstr>P05</vt:lpstr>
      <vt:lpstr>PA05</vt:lpstr>
      <vt:lpstr>P06</vt:lpstr>
      <vt:lpstr>PA06</vt:lpstr>
      <vt:lpstr>P07</vt:lpstr>
      <vt:lpstr>PA07</vt:lpstr>
      <vt:lpstr>P08</vt:lpstr>
      <vt:lpstr>PA08</vt:lpstr>
      <vt:lpstr>P09</vt:lpstr>
      <vt:lpstr>PA09</vt:lpstr>
      <vt:lpstr>P10</vt:lpstr>
      <vt:lpstr>PA10</vt:lpstr>
      <vt:lpstr>P11</vt:lpstr>
      <vt:lpstr>PA11</vt:lpstr>
      <vt:lpstr>P12</vt:lpstr>
      <vt:lpstr>PA12</vt:lpstr>
      <vt:lpstr>P13</vt:lpstr>
      <vt:lpstr>PA13</vt:lpstr>
      <vt:lpstr>P14</vt:lpstr>
      <vt:lpstr>PA14</vt:lpstr>
      <vt:lpstr>P15</vt:lpstr>
      <vt:lpstr>PA15</vt:lpstr>
      <vt:lpstr>P16</vt:lpstr>
      <vt:lpstr>PA16</vt:lpstr>
      <vt:lpstr>P17</vt:lpstr>
      <vt:lpstr>PA17</vt:lpstr>
      <vt:lpstr>P18</vt:lpstr>
      <vt:lpstr>PA18</vt:lpstr>
      <vt:lpstr>P19</vt:lpstr>
      <vt:lpstr>PA19</vt:lpstr>
      <vt:lpstr>P20</vt:lpstr>
      <vt:lpstr>PA20</vt:lpstr>
      <vt:lpstr>P21</vt:lpstr>
      <vt:lpstr>PA21</vt:lpstr>
      <vt:lpstr>P22</vt:lpstr>
      <vt:lpstr>PA22</vt:lpstr>
      <vt:lpstr>P23</vt:lpstr>
      <vt:lpstr>PA23</vt:lpstr>
      <vt:lpstr>P24</vt:lpstr>
      <vt:lpstr>PA24</vt:lpstr>
      <vt:lpstr>P25</vt:lpstr>
      <vt:lpstr>PA25</vt:lpstr>
      <vt:lpstr>P26</vt:lpstr>
      <vt:lpstr>PA26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直希 高田</dc:creator>
  <cp:lastModifiedBy>直希 高田</cp:lastModifiedBy>
  <dcterms:created xsi:type="dcterms:W3CDTF">2026-03-02T11:57:24Z</dcterms:created>
  <dcterms:modified xsi:type="dcterms:W3CDTF">2026-03-03T14:10:43Z</dcterms:modified>
</cp:coreProperties>
</file>